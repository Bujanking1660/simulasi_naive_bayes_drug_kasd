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 Asli" sheetId="1" state="visible" r:id="rId3"/>
    <sheet name="Splitting Data" sheetId="2" state="visible" r:id="rId4"/>
    <sheet name="Prior &amp; Likelihood" sheetId="3" state="visible" r:id="rId5"/>
    <sheet name="Prediksi &amp; Evaluasi" sheetId="4" state="visible" r:id="rId6"/>
    <sheet name="Ringkasan" sheetId="5" state="visible" r:id="rId7"/>
    <sheet name="Class Weigh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<sst xmlns="http://schemas.openxmlformats.org/spreadsheetml/2006/main" count="2394" uniqueCount="84">
  <si>
    <t xml:space="preserve">DATASET ASLI - DRUG200 (200 DATA)</t>
  </si>
  <si>
    <t xml:space="preserve">Age</t>
  </si>
  <si>
    <t xml:space="preserve">BP</t>
  </si>
  <si>
    <t xml:space="preserve">Cholesterol</t>
  </si>
  <si>
    <t xml:space="preserve">Na_to_K</t>
  </si>
  <si>
    <t xml:space="preserve">ClassDrug</t>
  </si>
  <si>
    <t xml:space="preserve">YOUNG</t>
  </si>
  <si>
    <t xml:space="preserve">HIGH</t>
  </si>
  <si>
    <t xml:space="preserve">NORMAL</t>
  </si>
  <si>
    <t xml:space="preserve">drugA</t>
  </si>
  <si>
    <t xml:space="preserve">LOW</t>
  </si>
  <si>
    <t xml:space="preserve">ADULT</t>
  </si>
  <si>
    <t xml:space="preserve">OLD</t>
  </si>
  <si>
    <t xml:space="preserve">drugB</t>
  </si>
  <si>
    <t xml:space="preserve">drugC</t>
  </si>
  <si>
    <t xml:space="preserve">drugX</t>
  </si>
  <si>
    <t xml:space="preserve">DrugY</t>
  </si>
  <si>
    <t xml:space="preserve">STRATIFIED SPLIT 80:20 (TRAIN 160 / TEST 40)</t>
  </si>
  <si>
    <t xml:space="preserve">Metode: stratified sampling per kelas ClassDrug, random_state=42, proporsi kelas dijaga sama seperti data asli.</t>
  </si>
  <si>
    <t xml:space="preserve">No</t>
  </si>
  <si>
    <t xml:space="preserve">Set</t>
  </si>
  <si>
    <t xml:space="preserve">Baris Asal (Dataset Asli)</t>
  </si>
  <si>
    <t xml:space="preserve">Train</t>
  </si>
  <si>
    <t xml:space="preserve">Test</t>
  </si>
  <si>
    <t xml:space="preserve">PRIOR &amp; LIKELIHOOD - DIHITUNG DARI 160 DATA TRAIN</t>
  </si>
  <si>
    <t xml:space="preserve">Sumber data: sheet Splitting Data, baris 5-164 (Set = Train). Struktur tabel sama persis seperti simulasi manual, hanya sumber datanya diganti.</t>
  </si>
  <si>
    <t xml:space="preserve">1. TABEL PRIOR P(Kelas) - dari Train</t>
  </si>
  <si>
    <t xml:space="preserve">Kelas</t>
  </si>
  <si>
    <t xml:space="preserve">Jumlah</t>
  </si>
  <si>
    <t xml:space="preserve">Prior</t>
  </si>
  <si>
    <t xml:space="preserve">Total</t>
  </si>
  <si>
    <t xml:space="preserve">2. TABEL KONTINGENSI &amp; LIKELIHOOD - AGE</t>
  </si>
  <si>
    <t xml:space="preserve">LIKELIHOOD P(Age | Kelas)</t>
  </si>
  <si>
    <t xml:space="preserve">3. TABEL KONTINGENSI &amp; LIKELIHOOD - BP</t>
  </si>
  <si>
    <t xml:space="preserve">LIKELIHOOD P(BP | Kelas)</t>
  </si>
  <si>
    <t xml:space="preserve">4. TABEL KONTINGENSI &amp; LIKELIHOOD - CHOLESTEROL</t>
  </si>
  <si>
    <t xml:space="preserve">LIKELIHOOD P(Cholesterol | Kelas)</t>
  </si>
  <si>
    <t xml:space="preserve">5. TABEL KONTINGENSI &amp; LIKELIHOOD - NA_TO_K</t>
  </si>
  <si>
    <t xml:space="preserve">LIKELIHOOD P(Na_to_K | Kelas)</t>
  </si>
  <si>
    <t xml:space="preserve">PREDIKSI NAIVE BAYES PADA 40 DATA TEST &amp; EVALUASI AKURASI</t>
  </si>
  <si>
    <t xml:space="preserve">Data uji diambil dari sheet Splitting Data (Set=Test, baris 165-204). Posterior = Prior x Likelihood(Age) x Likelihood(BP) x Likelihood(Chol) x Likelihood(Na_to_K), dihitung dari tabel di sheet Prior &amp; Likelihood.</t>
  </si>
  <si>
    <t xml:space="preserve">ClassDrug
(Aktual)</t>
  </si>
  <si>
    <t xml:space="preserve">Skor drugA</t>
  </si>
  <si>
    <t xml:space="preserve">Skor drugB</t>
  </si>
  <si>
    <t xml:space="preserve">Skor drugC</t>
  </si>
  <si>
    <t xml:space="preserve">Skor drugX</t>
  </si>
  <si>
    <t xml:space="preserve">Skor DrugY</t>
  </si>
  <si>
    <t xml:space="preserve">Prediksi</t>
  </si>
  <si>
    <t xml:space="preserve">Benar?</t>
  </si>
  <si>
    <t xml:space="preserve">Jumlah Benar</t>
  </si>
  <si>
    <t xml:space="preserve">Jumlah Data Test</t>
  </si>
  <si>
    <t xml:space="preserve">AKURASI</t>
  </si>
  <si>
    <t xml:space="preserve">RINGKASAN HASIL - NAIVE BAYES DRUG200</t>
  </si>
  <si>
    <t xml:space="preserve">Jumlah Data Train</t>
  </si>
  <si>
    <t xml:space="preserve">Jumlah Prediksi Benar</t>
  </si>
  <si>
    <t xml:space="preserve">AKURASI MODEL</t>
  </si>
  <si>
    <t xml:space="preserve">CONFUSION MATRIX (Baris = Aktual, Kolom = Prediksi)</t>
  </si>
  <si>
    <t xml:space="preserve">Aktual \ Prediksi</t>
  </si>
  <si>
    <t xml:space="preserve">Catatan: diagonal (drugA-drugA, drugB-drugB, dst) = prediksi benar; di luar diagonal = kesalahan klasifikasi.</t>
  </si>
  <si>
    <t xml:space="preserve">CLASS WEIGHT - NAIVE BAYES (MENANGANI IMBALANCE KELAS)</t>
  </si>
  <si>
    <t xml:space="preserve">Class weight = pembobotan tiap kelas berbanding terbalik dengan jumlah data train-nya (skema "balanced", seperti pada scikit-learn), agar kelas minoritas tidak "tertindas" kelas mayoritas saat kalah bersaing pada skor posterior Naive Bayes. Skor posterior asli dari sheet Prediksi &amp; Evaluasi dikalikan dengan class weight masing-masing kelas, lalu prediksi dipilih ulang dari skor terbobot ini.</t>
  </si>
  <si>
    <t xml:space="preserve">1. TABEL CLASS WEIGHT (BALANCED)</t>
  </si>
  <si>
    <t xml:space="preserve">Jumlah (Train)</t>
  </si>
  <si>
    <t xml:space="preserve">Proporsi</t>
  </si>
  <si>
    <t xml:space="preserve">Class Weight</t>
  </si>
  <si>
    <t xml:space="preserve">Rumus: Class Weight kelas c = Total Data Train / (Jumlah Kelas x Jumlah Data Train kelas c). Kelas dengan data lebih sedikit otomatis mendapat bobot lebih besar (&gt;1), kelas dominan mendapat bobot &lt;1.</t>
  </si>
  <si>
    <t xml:space="preserve">2. PREDIKSI DENGAN CLASS WEIGHT PADA 40 DATA TEST</t>
  </si>
  <si>
    <t xml:space="preserve">Skor Weighted = Skor Posterior asli (sheet Prediksi &amp; Evaluasi, kolom Skor) x Class Weight kelas yang bersangkutan (tabel di atas). Prediksi Weighted = kelas dengan Skor Weighted tertinggi.</t>
  </si>
  <si>
    <t xml:space="preserve">Prediksi
Awal</t>
  </si>
  <si>
    <t xml:space="preserve">Benar
Awal</t>
  </si>
  <si>
    <t xml:space="preserve">Skor-W
drugA</t>
  </si>
  <si>
    <t xml:space="preserve">Skor-W
drugB</t>
  </si>
  <si>
    <t xml:space="preserve">Skor-W
drugC</t>
  </si>
  <si>
    <t xml:space="preserve">Skor-W
drugX</t>
  </si>
  <si>
    <t xml:space="preserve">Skor-W
DrugY</t>
  </si>
  <si>
    <t xml:space="preserve">Prediksi
Weighted</t>
  </si>
  <si>
    <t xml:space="preserve">Benar
Weighted</t>
  </si>
  <si>
    <t xml:space="preserve">3. RINGKASAN &amp; PERBANDINGAN AKURASI</t>
  </si>
  <si>
    <t xml:space="preserve">Akurasi Awal (Tanpa Class Weight)</t>
  </si>
  <si>
    <t xml:space="preserve">Jumlah Prediksi Benar (Dengan Class Weight)</t>
  </si>
  <si>
    <t xml:space="preserve">Akurasi (Dengan Class Weight)</t>
  </si>
  <si>
    <t xml:space="preserve">Selisih Akurasi (Weighted - Awal)</t>
  </si>
  <si>
    <t xml:space="preserve">CONFUSION MATRIX - DENGAN CLASS WEIGHT (Baris = Aktual, Kolom = Prediksi)</t>
  </si>
  <si>
    <t xml:space="preserve">Catatan: bandingkan confusion matrix ini dengan sheet Ringkasan (tanpa class weight) untuk melihat apakah pembobotan membantu kelas minoritas (drugB, drugC) lebih sering terprediksi benar, meskipun akurasi total bisa naik/turun.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</si>
</sst>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000"/>
    <numFmt numFmtId="168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5" min="3" style="1" width="12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 t="s">
        <v>6</v>
      </c>
      <c r="B4" s="4" t="s">
        <v>7</v>
      </c>
      <c r="C4" s="4" t="s">
        <v>7</v>
      </c>
      <c r="D4" s="4" t="s">
        <v>8</v>
      </c>
      <c r="E4" s="4" t="s">
        <v>9</v>
      </c>
    </row>
    <row r="5" customFormat="false" ht="15" hidden="false" customHeight="true" outlineLevel="0" collapsed="false">
      <c r="A5" s="4" t="s">
        <v>6</v>
      </c>
      <c r="B5" s="4" t="s">
        <v>7</v>
      </c>
      <c r="C5" s="4" t="s">
        <v>7</v>
      </c>
      <c r="D5" s="4" t="s">
        <v>8</v>
      </c>
      <c r="E5" s="4" t="s">
        <v>9</v>
      </c>
    </row>
    <row r="6" customFormat="false" ht="15" hidden="false" customHeight="true" outlineLevel="0" collapsed="false">
      <c r="A6" s="4" t="s">
        <v>6</v>
      </c>
      <c r="B6" s="4" t="s">
        <v>7</v>
      </c>
      <c r="C6" s="4" t="s">
        <v>7</v>
      </c>
      <c r="D6" s="4" t="s">
        <v>10</v>
      </c>
      <c r="E6" s="4" t="s">
        <v>9</v>
      </c>
    </row>
    <row r="7" customFormat="false" ht="15" hidden="false" customHeight="true" outlineLevel="0" collapsed="false">
      <c r="A7" s="4" t="s">
        <v>6</v>
      </c>
      <c r="B7" s="4" t="s">
        <v>7</v>
      </c>
      <c r="C7" s="4" t="s">
        <v>8</v>
      </c>
      <c r="D7" s="4" t="s">
        <v>10</v>
      </c>
      <c r="E7" s="4" t="s">
        <v>9</v>
      </c>
    </row>
    <row r="8" customFormat="false" ht="15" hidden="false" customHeight="true" outlineLevel="0" collapsed="false">
      <c r="A8" s="4" t="s">
        <v>11</v>
      </c>
      <c r="B8" s="4" t="s">
        <v>7</v>
      </c>
      <c r="C8" s="4" t="s">
        <v>8</v>
      </c>
      <c r="D8" s="4" t="s">
        <v>8</v>
      </c>
      <c r="E8" s="4" t="s">
        <v>9</v>
      </c>
    </row>
    <row r="9" customFormat="false" ht="15" hidden="false" customHeight="true" outlineLevel="0" collapsed="false">
      <c r="A9" s="4" t="s">
        <v>11</v>
      </c>
      <c r="B9" s="4" t="s">
        <v>7</v>
      </c>
      <c r="C9" s="4" t="s">
        <v>7</v>
      </c>
      <c r="D9" s="4" t="s">
        <v>8</v>
      </c>
      <c r="E9" s="4" t="s">
        <v>9</v>
      </c>
    </row>
    <row r="10" customFormat="false" ht="15" hidden="false" customHeight="true" outlineLevel="0" collapsed="false">
      <c r="A10" s="4" t="s">
        <v>11</v>
      </c>
      <c r="B10" s="4" t="s">
        <v>7</v>
      </c>
      <c r="C10" s="4" t="s">
        <v>8</v>
      </c>
      <c r="D10" s="4" t="s">
        <v>8</v>
      </c>
      <c r="E10" s="4" t="s">
        <v>9</v>
      </c>
    </row>
    <row r="11" customFormat="false" ht="15" hidden="false" customHeight="true" outlineLevel="0" collapsed="false">
      <c r="A11" s="4" t="s">
        <v>11</v>
      </c>
      <c r="B11" s="4" t="s">
        <v>7</v>
      </c>
      <c r="C11" s="4" t="s">
        <v>8</v>
      </c>
      <c r="D11" s="4" t="s">
        <v>8</v>
      </c>
      <c r="E11" s="4" t="s">
        <v>9</v>
      </c>
    </row>
    <row r="12" customFormat="false" ht="15" hidden="false" customHeight="true" outlineLevel="0" collapsed="false">
      <c r="A12" s="4" t="s">
        <v>11</v>
      </c>
      <c r="B12" s="4" t="s">
        <v>7</v>
      </c>
      <c r="C12" s="4" t="s">
        <v>8</v>
      </c>
      <c r="D12" s="4" t="s">
        <v>10</v>
      </c>
      <c r="E12" s="4" t="s">
        <v>9</v>
      </c>
    </row>
    <row r="13" customFormat="false" ht="15" hidden="false" customHeight="true" outlineLevel="0" collapsed="false">
      <c r="A13" s="4" t="s">
        <v>11</v>
      </c>
      <c r="B13" s="4" t="s">
        <v>7</v>
      </c>
      <c r="C13" s="4" t="s">
        <v>8</v>
      </c>
      <c r="D13" s="4" t="s">
        <v>8</v>
      </c>
      <c r="E13" s="4" t="s">
        <v>9</v>
      </c>
    </row>
    <row r="14" customFormat="false" ht="15" hidden="false" customHeight="true" outlineLevel="0" collapsed="false">
      <c r="A14" s="4" t="s">
        <v>11</v>
      </c>
      <c r="B14" s="4" t="s">
        <v>7</v>
      </c>
      <c r="C14" s="4" t="s">
        <v>7</v>
      </c>
      <c r="D14" s="4" t="s">
        <v>8</v>
      </c>
      <c r="E14" s="4" t="s">
        <v>9</v>
      </c>
    </row>
    <row r="15" customFormat="false" ht="15" hidden="false" customHeight="true" outlineLevel="0" collapsed="false">
      <c r="A15" s="4" t="s">
        <v>11</v>
      </c>
      <c r="B15" s="4" t="s">
        <v>7</v>
      </c>
      <c r="C15" s="4" t="s">
        <v>7</v>
      </c>
      <c r="D15" s="4" t="s">
        <v>8</v>
      </c>
      <c r="E15" s="4" t="s">
        <v>9</v>
      </c>
    </row>
    <row r="16" customFormat="false" ht="15" hidden="false" customHeight="true" outlineLevel="0" collapsed="false">
      <c r="A16" s="4" t="s">
        <v>11</v>
      </c>
      <c r="B16" s="4" t="s">
        <v>7</v>
      </c>
      <c r="C16" s="4" t="s">
        <v>7</v>
      </c>
      <c r="D16" s="4" t="s">
        <v>8</v>
      </c>
      <c r="E16" s="4" t="s">
        <v>9</v>
      </c>
    </row>
    <row r="17" customFormat="false" ht="15" hidden="false" customHeight="true" outlineLevel="0" collapsed="false">
      <c r="A17" s="4" t="s">
        <v>11</v>
      </c>
      <c r="B17" s="4" t="s">
        <v>7</v>
      </c>
      <c r="C17" s="4" t="s">
        <v>8</v>
      </c>
      <c r="D17" s="4" t="s">
        <v>8</v>
      </c>
      <c r="E17" s="4" t="s">
        <v>9</v>
      </c>
    </row>
    <row r="18" customFormat="false" ht="15" hidden="false" customHeight="true" outlineLevel="0" collapsed="false">
      <c r="A18" s="4" t="s">
        <v>11</v>
      </c>
      <c r="B18" s="4" t="s">
        <v>7</v>
      </c>
      <c r="C18" s="4" t="s">
        <v>7</v>
      </c>
      <c r="D18" s="4" t="s">
        <v>10</v>
      </c>
      <c r="E18" s="4" t="s">
        <v>9</v>
      </c>
    </row>
    <row r="19" customFormat="false" ht="15" hidden="false" customHeight="true" outlineLevel="0" collapsed="false">
      <c r="A19" s="4" t="s">
        <v>11</v>
      </c>
      <c r="B19" s="4" t="s">
        <v>7</v>
      </c>
      <c r="C19" s="4" t="s">
        <v>8</v>
      </c>
      <c r="D19" s="4" t="s">
        <v>8</v>
      </c>
      <c r="E19" s="4" t="s">
        <v>9</v>
      </c>
    </row>
    <row r="20" customFormat="false" ht="15" hidden="false" customHeight="true" outlineLevel="0" collapsed="false">
      <c r="A20" s="4" t="s">
        <v>11</v>
      </c>
      <c r="B20" s="4" t="s">
        <v>7</v>
      </c>
      <c r="C20" s="4" t="s">
        <v>7</v>
      </c>
      <c r="D20" s="4" t="s">
        <v>8</v>
      </c>
      <c r="E20" s="4" t="s">
        <v>9</v>
      </c>
    </row>
    <row r="21" customFormat="false" ht="15" hidden="false" customHeight="true" outlineLevel="0" collapsed="false">
      <c r="A21" s="4" t="s">
        <v>12</v>
      </c>
      <c r="B21" s="4" t="s">
        <v>7</v>
      </c>
      <c r="C21" s="4" t="s">
        <v>7</v>
      </c>
      <c r="D21" s="4" t="s">
        <v>8</v>
      </c>
      <c r="E21" s="4" t="s">
        <v>9</v>
      </c>
    </row>
    <row r="22" customFormat="false" ht="15" hidden="false" customHeight="true" outlineLevel="0" collapsed="false">
      <c r="A22" s="4" t="s">
        <v>12</v>
      </c>
      <c r="B22" s="4" t="s">
        <v>7</v>
      </c>
      <c r="C22" s="4" t="s">
        <v>7</v>
      </c>
      <c r="D22" s="4" t="s">
        <v>8</v>
      </c>
      <c r="E22" s="4" t="s">
        <v>9</v>
      </c>
    </row>
    <row r="23" customFormat="false" ht="15" hidden="false" customHeight="true" outlineLevel="0" collapsed="false">
      <c r="A23" s="4" t="s">
        <v>12</v>
      </c>
      <c r="B23" s="4" t="s">
        <v>7</v>
      </c>
      <c r="C23" s="4" t="s">
        <v>8</v>
      </c>
      <c r="D23" s="4" t="s">
        <v>8</v>
      </c>
      <c r="E23" s="4" t="s">
        <v>9</v>
      </c>
    </row>
    <row r="24" customFormat="false" ht="15" hidden="false" customHeight="true" outlineLevel="0" collapsed="false">
      <c r="A24" s="4" t="s">
        <v>12</v>
      </c>
      <c r="B24" s="4" t="s">
        <v>7</v>
      </c>
      <c r="C24" s="4" t="s">
        <v>8</v>
      </c>
      <c r="D24" s="4" t="s">
        <v>10</v>
      </c>
      <c r="E24" s="4" t="s">
        <v>9</v>
      </c>
    </row>
    <row r="25" customFormat="false" ht="15" hidden="false" customHeight="true" outlineLevel="0" collapsed="false">
      <c r="A25" s="4" t="s">
        <v>12</v>
      </c>
      <c r="B25" s="4" t="s">
        <v>7</v>
      </c>
      <c r="C25" s="4" t="s">
        <v>8</v>
      </c>
      <c r="D25" s="4" t="s">
        <v>7</v>
      </c>
      <c r="E25" s="4" t="s">
        <v>9</v>
      </c>
    </row>
    <row r="26" customFormat="false" ht="15" hidden="false" customHeight="true" outlineLevel="0" collapsed="false">
      <c r="A26" s="4" t="s">
        <v>12</v>
      </c>
      <c r="B26" s="4" t="s">
        <v>7</v>
      </c>
      <c r="C26" s="4" t="s">
        <v>7</v>
      </c>
      <c r="D26" s="4" t="s">
        <v>7</v>
      </c>
      <c r="E26" s="4" t="s">
        <v>9</v>
      </c>
    </row>
    <row r="27" customFormat="false" ht="15" hidden="false" customHeight="true" outlineLevel="0" collapsed="false">
      <c r="A27" s="4" t="s">
        <v>12</v>
      </c>
      <c r="B27" s="4" t="s">
        <v>7</v>
      </c>
      <c r="C27" s="4" t="s">
        <v>8</v>
      </c>
      <c r="D27" s="4" t="s">
        <v>8</v>
      </c>
      <c r="E27" s="4" t="s">
        <v>13</v>
      </c>
    </row>
    <row r="28" customFormat="false" ht="15" hidden="false" customHeight="true" outlineLevel="0" collapsed="false">
      <c r="A28" s="4" t="s">
        <v>12</v>
      </c>
      <c r="B28" s="4" t="s">
        <v>7</v>
      </c>
      <c r="C28" s="4" t="s">
        <v>8</v>
      </c>
      <c r="D28" s="4" t="s">
        <v>8</v>
      </c>
      <c r="E28" s="4" t="s">
        <v>13</v>
      </c>
    </row>
    <row r="29" customFormat="false" ht="15" hidden="false" customHeight="true" outlineLevel="0" collapsed="false">
      <c r="A29" s="4" t="s">
        <v>12</v>
      </c>
      <c r="B29" s="4" t="s">
        <v>7</v>
      </c>
      <c r="C29" s="4" t="s">
        <v>7</v>
      </c>
      <c r="D29" s="4" t="s">
        <v>8</v>
      </c>
      <c r="E29" s="4" t="s">
        <v>13</v>
      </c>
    </row>
    <row r="30" customFormat="false" ht="15" hidden="false" customHeight="true" outlineLevel="0" collapsed="false">
      <c r="A30" s="4" t="s">
        <v>12</v>
      </c>
      <c r="B30" s="4" t="s">
        <v>7</v>
      </c>
      <c r="C30" s="4" t="s">
        <v>8</v>
      </c>
      <c r="D30" s="4" t="s">
        <v>10</v>
      </c>
      <c r="E30" s="4" t="s">
        <v>13</v>
      </c>
    </row>
    <row r="31" customFormat="false" ht="15" hidden="false" customHeight="true" outlineLevel="0" collapsed="false">
      <c r="A31" s="4" t="s">
        <v>12</v>
      </c>
      <c r="B31" s="4" t="s">
        <v>7</v>
      </c>
      <c r="C31" s="4" t="s">
        <v>8</v>
      </c>
      <c r="D31" s="4" t="s">
        <v>8</v>
      </c>
      <c r="E31" s="4" t="s">
        <v>13</v>
      </c>
    </row>
    <row r="32" customFormat="false" ht="15" hidden="false" customHeight="true" outlineLevel="0" collapsed="false">
      <c r="A32" s="4" t="s">
        <v>12</v>
      </c>
      <c r="B32" s="4" t="s">
        <v>7</v>
      </c>
      <c r="C32" s="4" t="s">
        <v>7</v>
      </c>
      <c r="D32" s="4" t="s">
        <v>8</v>
      </c>
      <c r="E32" s="4" t="s">
        <v>13</v>
      </c>
    </row>
    <row r="33" customFormat="false" ht="15" hidden="false" customHeight="true" outlineLevel="0" collapsed="false">
      <c r="A33" s="4" t="s">
        <v>12</v>
      </c>
      <c r="B33" s="4" t="s">
        <v>7</v>
      </c>
      <c r="C33" s="4" t="s">
        <v>8</v>
      </c>
      <c r="D33" s="4" t="s">
        <v>10</v>
      </c>
      <c r="E33" s="4" t="s">
        <v>13</v>
      </c>
    </row>
    <row r="34" customFormat="false" ht="15" hidden="false" customHeight="true" outlineLevel="0" collapsed="false">
      <c r="A34" s="4" t="s">
        <v>12</v>
      </c>
      <c r="B34" s="4" t="s">
        <v>7</v>
      </c>
      <c r="C34" s="4" t="s">
        <v>7</v>
      </c>
      <c r="D34" s="4" t="s">
        <v>8</v>
      </c>
      <c r="E34" s="4" t="s">
        <v>13</v>
      </c>
    </row>
    <row r="35" customFormat="false" ht="15" hidden="false" customHeight="true" outlineLevel="0" collapsed="false">
      <c r="A35" s="4" t="s">
        <v>12</v>
      </c>
      <c r="B35" s="4" t="s">
        <v>7</v>
      </c>
      <c r="C35" s="4" t="s">
        <v>7</v>
      </c>
      <c r="D35" s="4" t="s">
        <v>8</v>
      </c>
      <c r="E35" s="4" t="s">
        <v>13</v>
      </c>
    </row>
    <row r="36" customFormat="false" ht="15" hidden="false" customHeight="true" outlineLevel="0" collapsed="false">
      <c r="A36" s="4" t="s">
        <v>12</v>
      </c>
      <c r="B36" s="4" t="s">
        <v>7</v>
      </c>
      <c r="C36" s="4" t="s">
        <v>8</v>
      </c>
      <c r="D36" s="4" t="s">
        <v>7</v>
      </c>
      <c r="E36" s="4" t="s">
        <v>13</v>
      </c>
    </row>
    <row r="37" customFormat="false" ht="15" hidden="false" customHeight="true" outlineLevel="0" collapsed="false">
      <c r="A37" s="4" t="s">
        <v>12</v>
      </c>
      <c r="B37" s="4" t="s">
        <v>7</v>
      </c>
      <c r="C37" s="4" t="s">
        <v>8</v>
      </c>
      <c r="D37" s="4" t="s">
        <v>8</v>
      </c>
      <c r="E37" s="4" t="s">
        <v>13</v>
      </c>
    </row>
    <row r="38" customFormat="false" ht="15" hidden="false" customHeight="true" outlineLevel="0" collapsed="false">
      <c r="A38" s="4" t="s">
        <v>12</v>
      </c>
      <c r="B38" s="4" t="s">
        <v>7</v>
      </c>
      <c r="C38" s="4" t="s">
        <v>7</v>
      </c>
      <c r="D38" s="4" t="s">
        <v>8</v>
      </c>
      <c r="E38" s="4" t="s">
        <v>13</v>
      </c>
    </row>
    <row r="39" customFormat="false" ht="15" hidden="false" customHeight="true" outlineLevel="0" collapsed="false">
      <c r="A39" s="4" t="s">
        <v>12</v>
      </c>
      <c r="B39" s="4" t="s">
        <v>7</v>
      </c>
      <c r="C39" s="4" t="s">
        <v>7</v>
      </c>
      <c r="D39" s="4" t="s">
        <v>10</v>
      </c>
      <c r="E39" s="4" t="s">
        <v>13</v>
      </c>
    </row>
    <row r="40" customFormat="false" ht="15" hidden="false" customHeight="true" outlineLevel="0" collapsed="false">
      <c r="A40" s="4" t="s">
        <v>12</v>
      </c>
      <c r="B40" s="4" t="s">
        <v>7</v>
      </c>
      <c r="C40" s="4" t="s">
        <v>7</v>
      </c>
      <c r="D40" s="4" t="s">
        <v>8</v>
      </c>
      <c r="E40" s="4" t="s">
        <v>13</v>
      </c>
    </row>
    <row r="41" customFormat="false" ht="15" hidden="false" customHeight="true" outlineLevel="0" collapsed="false">
      <c r="A41" s="4" t="s">
        <v>12</v>
      </c>
      <c r="B41" s="4" t="s">
        <v>7</v>
      </c>
      <c r="C41" s="4" t="s">
        <v>8</v>
      </c>
      <c r="D41" s="4" t="s">
        <v>10</v>
      </c>
      <c r="E41" s="4" t="s">
        <v>13</v>
      </c>
    </row>
    <row r="42" customFormat="false" ht="15" hidden="false" customHeight="true" outlineLevel="0" collapsed="false">
      <c r="A42" s="4" t="s">
        <v>12</v>
      </c>
      <c r="B42" s="4" t="s">
        <v>7</v>
      </c>
      <c r="C42" s="4" t="s">
        <v>7</v>
      </c>
      <c r="D42" s="4" t="s">
        <v>10</v>
      </c>
      <c r="E42" s="4" t="s">
        <v>13</v>
      </c>
    </row>
    <row r="43" customFormat="false" ht="15" hidden="false" customHeight="true" outlineLevel="0" collapsed="false">
      <c r="A43" s="4" t="s">
        <v>6</v>
      </c>
      <c r="B43" s="4" t="s">
        <v>10</v>
      </c>
      <c r="C43" s="4" t="s">
        <v>7</v>
      </c>
      <c r="D43" s="4" t="s">
        <v>8</v>
      </c>
      <c r="E43" s="4" t="s">
        <v>14</v>
      </c>
    </row>
    <row r="44" customFormat="false" ht="15" hidden="false" customHeight="true" outlineLevel="0" collapsed="false">
      <c r="A44" s="4" t="s">
        <v>6</v>
      </c>
      <c r="B44" s="4" t="s">
        <v>10</v>
      </c>
      <c r="C44" s="4" t="s">
        <v>7</v>
      </c>
      <c r="D44" s="4" t="s">
        <v>10</v>
      </c>
      <c r="E44" s="4" t="s">
        <v>14</v>
      </c>
    </row>
    <row r="45" customFormat="false" ht="15" hidden="false" customHeight="true" outlineLevel="0" collapsed="false">
      <c r="A45" s="4" t="s">
        <v>6</v>
      </c>
      <c r="B45" s="4" t="s">
        <v>10</v>
      </c>
      <c r="C45" s="4" t="s">
        <v>7</v>
      </c>
      <c r="D45" s="4" t="s">
        <v>10</v>
      </c>
      <c r="E45" s="4" t="s">
        <v>14</v>
      </c>
    </row>
    <row r="46" customFormat="false" ht="15" hidden="false" customHeight="true" outlineLevel="0" collapsed="false">
      <c r="A46" s="4" t="s">
        <v>11</v>
      </c>
      <c r="B46" s="4" t="s">
        <v>10</v>
      </c>
      <c r="C46" s="4" t="s">
        <v>7</v>
      </c>
      <c r="D46" s="4" t="s">
        <v>7</v>
      </c>
      <c r="E46" s="4" t="s">
        <v>14</v>
      </c>
    </row>
    <row r="47" customFormat="false" ht="15" hidden="false" customHeight="true" outlineLevel="0" collapsed="false">
      <c r="A47" s="4" t="s">
        <v>11</v>
      </c>
      <c r="B47" s="4" t="s">
        <v>10</v>
      </c>
      <c r="C47" s="4" t="s">
        <v>7</v>
      </c>
      <c r="D47" s="4" t="s">
        <v>8</v>
      </c>
      <c r="E47" s="4" t="s">
        <v>14</v>
      </c>
    </row>
    <row r="48" customFormat="false" ht="15" hidden="false" customHeight="true" outlineLevel="0" collapsed="false">
      <c r="A48" s="4" t="s">
        <v>11</v>
      </c>
      <c r="B48" s="4" t="s">
        <v>10</v>
      </c>
      <c r="C48" s="4" t="s">
        <v>7</v>
      </c>
      <c r="D48" s="4" t="s">
        <v>10</v>
      </c>
      <c r="E48" s="4" t="s">
        <v>14</v>
      </c>
    </row>
    <row r="49" customFormat="false" ht="15" hidden="false" customHeight="true" outlineLevel="0" collapsed="false">
      <c r="A49" s="4" t="s">
        <v>11</v>
      </c>
      <c r="B49" s="4" t="s">
        <v>10</v>
      </c>
      <c r="C49" s="4" t="s">
        <v>7</v>
      </c>
      <c r="D49" s="4" t="s">
        <v>8</v>
      </c>
      <c r="E49" s="4" t="s">
        <v>14</v>
      </c>
    </row>
    <row r="50" customFormat="false" ht="15" hidden="false" customHeight="true" outlineLevel="0" collapsed="false">
      <c r="A50" s="4" t="s">
        <v>12</v>
      </c>
      <c r="B50" s="4" t="s">
        <v>10</v>
      </c>
      <c r="C50" s="4" t="s">
        <v>7</v>
      </c>
      <c r="D50" s="4" t="s">
        <v>8</v>
      </c>
      <c r="E50" s="4" t="s">
        <v>14</v>
      </c>
    </row>
    <row r="51" customFormat="false" ht="15" hidden="false" customHeight="true" outlineLevel="0" collapsed="false">
      <c r="A51" s="4" t="s">
        <v>12</v>
      </c>
      <c r="B51" s="4" t="s">
        <v>10</v>
      </c>
      <c r="C51" s="4" t="s">
        <v>7</v>
      </c>
      <c r="D51" s="4" t="s">
        <v>8</v>
      </c>
      <c r="E51" s="4" t="s">
        <v>14</v>
      </c>
    </row>
    <row r="52" customFormat="false" ht="15" hidden="false" customHeight="true" outlineLevel="0" collapsed="false">
      <c r="A52" s="4" t="s">
        <v>12</v>
      </c>
      <c r="B52" s="4" t="s">
        <v>10</v>
      </c>
      <c r="C52" s="4" t="s">
        <v>7</v>
      </c>
      <c r="D52" s="4" t="s">
        <v>8</v>
      </c>
      <c r="E52" s="4" t="s">
        <v>14</v>
      </c>
    </row>
    <row r="53" customFormat="false" ht="15" hidden="false" customHeight="true" outlineLevel="0" collapsed="false">
      <c r="A53" s="4" t="s">
        <v>12</v>
      </c>
      <c r="B53" s="4" t="s">
        <v>10</v>
      </c>
      <c r="C53" s="4" t="s">
        <v>7</v>
      </c>
      <c r="D53" s="4" t="s">
        <v>8</v>
      </c>
      <c r="E53" s="4" t="s">
        <v>14</v>
      </c>
    </row>
    <row r="54" customFormat="false" ht="15" hidden="false" customHeight="true" outlineLevel="0" collapsed="false">
      <c r="A54" s="4" t="s">
        <v>12</v>
      </c>
      <c r="B54" s="4" t="s">
        <v>10</v>
      </c>
      <c r="C54" s="4" t="s">
        <v>7</v>
      </c>
      <c r="D54" s="4" t="s">
        <v>8</v>
      </c>
      <c r="E54" s="4" t="s">
        <v>14</v>
      </c>
    </row>
    <row r="55" customFormat="false" ht="15" hidden="false" customHeight="true" outlineLevel="0" collapsed="false">
      <c r="A55" s="4" t="s">
        <v>12</v>
      </c>
      <c r="B55" s="4" t="s">
        <v>10</v>
      </c>
      <c r="C55" s="4" t="s">
        <v>7</v>
      </c>
      <c r="D55" s="4" t="s">
        <v>8</v>
      </c>
      <c r="E55" s="4" t="s">
        <v>14</v>
      </c>
    </row>
    <row r="56" customFormat="false" ht="15" hidden="false" customHeight="true" outlineLevel="0" collapsed="false">
      <c r="A56" s="4" t="s">
        <v>12</v>
      </c>
      <c r="B56" s="4" t="s">
        <v>10</v>
      </c>
      <c r="C56" s="4" t="s">
        <v>7</v>
      </c>
      <c r="D56" s="4" t="s">
        <v>8</v>
      </c>
      <c r="E56" s="4" t="s">
        <v>14</v>
      </c>
    </row>
    <row r="57" customFormat="false" ht="15" hidden="false" customHeight="true" outlineLevel="0" collapsed="false">
      <c r="A57" s="4" t="s">
        <v>12</v>
      </c>
      <c r="B57" s="4" t="s">
        <v>10</v>
      </c>
      <c r="C57" s="4" t="s">
        <v>7</v>
      </c>
      <c r="D57" s="4" t="s">
        <v>8</v>
      </c>
      <c r="E57" s="4" t="s">
        <v>14</v>
      </c>
    </row>
    <row r="58" customFormat="false" ht="15" hidden="false" customHeight="true" outlineLevel="0" collapsed="false">
      <c r="A58" s="4" t="s">
        <v>12</v>
      </c>
      <c r="B58" s="4" t="s">
        <v>10</v>
      </c>
      <c r="C58" s="4" t="s">
        <v>7</v>
      </c>
      <c r="D58" s="4" t="s">
        <v>10</v>
      </c>
      <c r="E58" s="4" t="s">
        <v>14</v>
      </c>
    </row>
    <row r="59" customFormat="false" ht="15" hidden="false" customHeight="true" outlineLevel="0" collapsed="false">
      <c r="A59" s="4" t="s">
        <v>6</v>
      </c>
      <c r="B59" s="4" t="s">
        <v>8</v>
      </c>
      <c r="C59" s="4" t="s">
        <v>7</v>
      </c>
      <c r="D59" s="4" t="s">
        <v>10</v>
      </c>
      <c r="E59" s="4" t="s">
        <v>15</v>
      </c>
    </row>
    <row r="60" customFormat="false" ht="15" hidden="false" customHeight="true" outlineLevel="0" collapsed="false">
      <c r="A60" s="4" t="s">
        <v>6</v>
      </c>
      <c r="B60" s="4" t="s">
        <v>8</v>
      </c>
      <c r="C60" s="4" t="s">
        <v>8</v>
      </c>
      <c r="D60" s="4" t="s">
        <v>8</v>
      </c>
      <c r="E60" s="4" t="s">
        <v>15</v>
      </c>
    </row>
    <row r="61" customFormat="false" ht="15" hidden="false" customHeight="true" outlineLevel="0" collapsed="false">
      <c r="A61" s="4" t="s">
        <v>6</v>
      </c>
      <c r="B61" s="4" t="s">
        <v>8</v>
      </c>
      <c r="C61" s="4" t="s">
        <v>8</v>
      </c>
      <c r="D61" s="4" t="s">
        <v>7</v>
      </c>
      <c r="E61" s="4" t="s">
        <v>15</v>
      </c>
    </row>
    <row r="62" customFormat="false" ht="15" hidden="false" customHeight="true" outlineLevel="0" collapsed="false">
      <c r="A62" s="4" t="s">
        <v>6</v>
      </c>
      <c r="B62" s="4" t="s">
        <v>8</v>
      </c>
      <c r="C62" s="4" t="s">
        <v>8</v>
      </c>
      <c r="D62" s="4" t="s">
        <v>10</v>
      </c>
      <c r="E62" s="4" t="s">
        <v>15</v>
      </c>
    </row>
    <row r="63" customFormat="false" ht="15" hidden="false" customHeight="true" outlineLevel="0" collapsed="false">
      <c r="A63" s="4" t="s">
        <v>6</v>
      </c>
      <c r="B63" s="4" t="s">
        <v>10</v>
      </c>
      <c r="C63" s="4" t="s">
        <v>8</v>
      </c>
      <c r="D63" s="4" t="s">
        <v>8</v>
      </c>
      <c r="E63" s="4" t="s">
        <v>15</v>
      </c>
    </row>
    <row r="64" customFormat="false" ht="15" hidden="false" customHeight="true" outlineLevel="0" collapsed="false">
      <c r="A64" s="4" t="s">
        <v>6</v>
      </c>
      <c r="B64" s="4" t="s">
        <v>8</v>
      </c>
      <c r="C64" s="4" t="s">
        <v>7</v>
      </c>
      <c r="D64" s="4" t="s">
        <v>10</v>
      </c>
      <c r="E64" s="4" t="s">
        <v>15</v>
      </c>
    </row>
    <row r="65" customFormat="false" ht="15" hidden="false" customHeight="true" outlineLevel="0" collapsed="false">
      <c r="A65" s="4" t="s">
        <v>6</v>
      </c>
      <c r="B65" s="4" t="s">
        <v>8</v>
      </c>
      <c r="C65" s="4" t="s">
        <v>7</v>
      </c>
      <c r="D65" s="4" t="s">
        <v>8</v>
      </c>
      <c r="E65" s="4" t="s">
        <v>15</v>
      </c>
    </row>
    <row r="66" customFormat="false" ht="15" hidden="false" customHeight="true" outlineLevel="0" collapsed="false">
      <c r="A66" s="4" t="s">
        <v>6</v>
      </c>
      <c r="B66" s="4" t="s">
        <v>8</v>
      </c>
      <c r="C66" s="4" t="s">
        <v>7</v>
      </c>
      <c r="D66" s="4" t="s">
        <v>7</v>
      </c>
      <c r="E66" s="4" t="s">
        <v>15</v>
      </c>
    </row>
    <row r="67" customFormat="false" ht="15" hidden="false" customHeight="true" outlineLevel="0" collapsed="false">
      <c r="A67" s="4" t="s">
        <v>6</v>
      </c>
      <c r="B67" s="4" t="s">
        <v>8</v>
      </c>
      <c r="C67" s="4" t="s">
        <v>8</v>
      </c>
      <c r="D67" s="4" t="s">
        <v>7</v>
      </c>
      <c r="E67" s="4" t="s">
        <v>15</v>
      </c>
    </row>
    <row r="68" customFormat="false" ht="15" hidden="false" customHeight="true" outlineLevel="0" collapsed="false">
      <c r="A68" s="4" t="s">
        <v>6</v>
      </c>
      <c r="B68" s="4" t="s">
        <v>8</v>
      </c>
      <c r="C68" s="4" t="s">
        <v>7</v>
      </c>
      <c r="D68" s="4" t="s">
        <v>8</v>
      </c>
      <c r="E68" s="4" t="s">
        <v>15</v>
      </c>
    </row>
    <row r="69" customFormat="false" ht="15" hidden="false" customHeight="true" outlineLevel="0" collapsed="false">
      <c r="A69" s="4" t="s">
        <v>11</v>
      </c>
      <c r="B69" s="4" t="s">
        <v>8</v>
      </c>
      <c r="C69" s="4" t="s">
        <v>7</v>
      </c>
      <c r="D69" s="4" t="s">
        <v>10</v>
      </c>
      <c r="E69" s="4" t="s">
        <v>15</v>
      </c>
    </row>
    <row r="70" customFormat="false" ht="15" hidden="false" customHeight="true" outlineLevel="0" collapsed="false">
      <c r="A70" s="4" t="s">
        <v>11</v>
      </c>
      <c r="B70" s="4" t="s">
        <v>8</v>
      </c>
      <c r="C70" s="4" t="s">
        <v>7</v>
      </c>
      <c r="D70" s="4" t="s">
        <v>8</v>
      </c>
      <c r="E70" s="4" t="s">
        <v>15</v>
      </c>
    </row>
    <row r="71" customFormat="false" ht="15" hidden="false" customHeight="true" outlineLevel="0" collapsed="false">
      <c r="A71" s="4" t="s">
        <v>11</v>
      </c>
      <c r="B71" s="4" t="s">
        <v>8</v>
      </c>
      <c r="C71" s="4" t="s">
        <v>7</v>
      </c>
      <c r="D71" s="4" t="s">
        <v>8</v>
      </c>
      <c r="E71" s="4" t="s">
        <v>15</v>
      </c>
    </row>
    <row r="72" customFormat="false" ht="15" hidden="false" customHeight="true" outlineLevel="0" collapsed="false">
      <c r="A72" s="4" t="s">
        <v>11</v>
      </c>
      <c r="B72" s="4" t="s">
        <v>8</v>
      </c>
      <c r="C72" s="4" t="s">
        <v>7</v>
      </c>
      <c r="D72" s="4" t="s">
        <v>10</v>
      </c>
      <c r="E72" s="4" t="s">
        <v>15</v>
      </c>
    </row>
    <row r="73" customFormat="false" ht="15" hidden="false" customHeight="true" outlineLevel="0" collapsed="false">
      <c r="A73" s="4" t="s">
        <v>11</v>
      </c>
      <c r="B73" s="4" t="s">
        <v>10</v>
      </c>
      <c r="C73" s="4" t="s">
        <v>8</v>
      </c>
      <c r="D73" s="4" t="s">
        <v>7</v>
      </c>
      <c r="E73" s="4" t="s">
        <v>15</v>
      </c>
    </row>
    <row r="74" customFormat="false" ht="15" hidden="false" customHeight="true" outlineLevel="0" collapsed="false">
      <c r="A74" s="4" t="s">
        <v>11</v>
      </c>
      <c r="B74" s="4" t="s">
        <v>10</v>
      </c>
      <c r="C74" s="4" t="s">
        <v>8</v>
      </c>
      <c r="D74" s="4" t="s">
        <v>8</v>
      </c>
      <c r="E74" s="4" t="s">
        <v>15</v>
      </c>
    </row>
    <row r="75" customFormat="false" ht="15" hidden="false" customHeight="true" outlineLevel="0" collapsed="false">
      <c r="A75" s="4" t="s">
        <v>11</v>
      </c>
      <c r="B75" s="4" t="s">
        <v>8</v>
      </c>
      <c r="C75" s="4" t="s">
        <v>8</v>
      </c>
      <c r="D75" s="4" t="s">
        <v>10</v>
      </c>
      <c r="E75" s="4" t="s">
        <v>15</v>
      </c>
    </row>
    <row r="76" customFormat="false" ht="15" hidden="false" customHeight="true" outlineLevel="0" collapsed="false">
      <c r="A76" s="4" t="s">
        <v>11</v>
      </c>
      <c r="B76" s="4" t="s">
        <v>10</v>
      </c>
      <c r="C76" s="4" t="s">
        <v>8</v>
      </c>
      <c r="D76" s="4" t="s">
        <v>7</v>
      </c>
      <c r="E76" s="4" t="s">
        <v>15</v>
      </c>
    </row>
    <row r="77" customFormat="false" ht="15" hidden="false" customHeight="true" outlineLevel="0" collapsed="false">
      <c r="A77" s="4" t="s">
        <v>11</v>
      </c>
      <c r="B77" s="4" t="s">
        <v>10</v>
      </c>
      <c r="C77" s="4" t="s">
        <v>8</v>
      </c>
      <c r="D77" s="4" t="s">
        <v>8</v>
      </c>
      <c r="E77" s="4" t="s">
        <v>15</v>
      </c>
    </row>
    <row r="78" customFormat="false" ht="15" hidden="false" customHeight="true" outlineLevel="0" collapsed="false">
      <c r="A78" s="4" t="s">
        <v>11</v>
      </c>
      <c r="B78" s="4" t="s">
        <v>10</v>
      </c>
      <c r="C78" s="4" t="s">
        <v>8</v>
      </c>
      <c r="D78" s="4" t="s">
        <v>10</v>
      </c>
      <c r="E78" s="4" t="s">
        <v>15</v>
      </c>
    </row>
    <row r="79" customFormat="false" ht="15" hidden="false" customHeight="true" outlineLevel="0" collapsed="false">
      <c r="A79" s="4" t="s">
        <v>11</v>
      </c>
      <c r="B79" s="4" t="s">
        <v>10</v>
      </c>
      <c r="C79" s="4" t="s">
        <v>8</v>
      </c>
      <c r="D79" s="4" t="s">
        <v>8</v>
      </c>
      <c r="E79" s="4" t="s">
        <v>15</v>
      </c>
    </row>
    <row r="80" customFormat="false" ht="15" hidden="false" customHeight="true" outlineLevel="0" collapsed="false">
      <c r="A80" s="4" t="s">
        <v>11</v>
      </c>
      <c r="B80" s="4" t="s">
        <v>8</v>
      </c>
      <c r="C80" s="4" t="s">
        <v>8</v>
      </c>
      <c r="D80" s="4" t="s">
        <v>10</v>
      </c>
      <c r="E80" s="4" t="s">
        <v>15</v>
      </c>
    </row>
    <row r="81" customFormat="false" ht="15" hidden="false" customHeight="true" outlineLevel="0" collapsed="false">
      <c r="A81" s="4" t="s">
        <v>11</v>
      </c>
      <c r="B81" s="4" t="s">
        <v>10</v>
      </c>
      <c r="C81" s="4" t="s">
        <v>8</v>
      </c>
      <c r="D81" s="4" t="s">
        <v>8</v>
      </c>
      <c r="E81" s="4" t="s">
        <v>15</v>
      </c>
    </row>
    <row r="82" customFormat="false" ht="15" hidden="false" customHeight="true" outlineLevel="0" collapsed="false">
      <c r="A82" s="4" t="s">
        <v>11</v>
      </c>
      <c r="B82" s="4" t="s">
        <v>8</v>
      </c>
      <c r="C82" s="4" t="s">
        <v>7</v>
      </c>
      <c r="D82" s="4" t="s">
        <v>8</v>
      </c>
      <c r="E82" s="4" t="s">
        <v>15</v>
      </c>
    </row>
    <row r="83" customFormat="false" ht="15" hidden="false" customHeight="true" outlineLevel="0" collapsed="false">
      <c r="A83" s="4" t="s">
        <v>11</v>
      </c>
      <c r="B83" s="4" t="s">
        <v>10</v>
      </c>
      <c r="C83" s="4" t="s">
        <v>8</v>
      </c>
      <c r="D83" s="4" t="s">
        <v>8</v>
      </c>
      <c r="E83" s="4" t="s">
        <v>15</v>
      </c>
    </row>
    <row r="84" customFormat="false" ht="15" hidden="false" customHeight="true" outlineLevel="0" collapsed="false">
      <c r="A84" s="4" t="s">
        <v>11</v>
      </c>
      <c r="B84" s="4" t="s">
        <v>8</v>
      </c>
      <c r="C84" s="4" t="s">
        <v>8</v>
      </c>
      <c r="D84" s="4" t="s">
        <v>8</v>
      </c>
      <c r="E84" s="4" t="s">
        <v>15</v>
      </c>
    </row>
    <row r="85" customFormat="false" ht="15" hidden="false" customHeight="true" outlineLevel="0" collapsed="false">
      <c r="A85" s="4" t="s">
        <v>12</v>
      </c>
      <c r="B85" s="4" t="s">
        <v>10</v>
      </c>
      <c r="C85" s="4" t="s">
        <v>8</v>
      </c>
      <c r="D85" s="4" t="s">
        <v>8</v>
      </c>
      <c r="E85" s="4" t="s">
        <v>15</v>
      </c>
    </row>
    <row r="86" customFormat="false" ht="15" hidden="false" customHeight="true" outlineLevel="0" collapsed="false">
      <c r="A86" s="4" t="s">
        <v>12</v>
      </c>
      <c r="B86" s="4" t="s">
        <v>10</v>
      </c>
      <c r="C86" s="4" t="s">
        <v>8</v>
      </c>
      <c r="D86" s="4" t="s">
        <v>7</v>
      </c>
      <c r="E86" s="4" t="s">
        <v>15</v>
      </c>
    </row>
    <row r="87" customFormat="false" ht="15" hidden="false" customHeight="true" outlineLevel="0" collapsed="false">
      <c r="A87" s="4" t="s">
        <v>12</v>
      </c>
      <c r="B87" s="4" t="s">
        <v>8</v>
      </c>
      <c r="C87" s="4" t="s">
        <v>8</v>
      </c>
      <c r="D87" s="4" t="s">
        <v>10</v>
      </c>
      <c r="E87" s="4" t="s">
        <v>15</v>
      </c>
    </row>
    <row r="88" customFormat="false" ht="15" hidden="false" customHeight="true" outlineLevel="0" collapsed="false">
      <c r="A88" s="4" t="s">
        <v>12</v>
      </c>
      <c r="B88" s="4" t="s">
        <v>8</v>
      </c>
      <c r="C88" s="4" t="s">
        <v>8</v>
      </c>
      <c r="D88" s="4" t="s">
        <v>10</v>
      </c>
      <c r="E88" s="4" t="s">
        <v>15</v>
      </c>
    </row>
    <row r="89" customFormat="false" ht="15" hidden="false" customHeight="true" outlineLevel="0" collapsed="false">
      <c r="A89" s="4" t="s">
        <v>12</v>
      </c>
      <c r="B89" s="4" t="s">
        <v>8</v>
      </c>
      <c r="C89" s="4" t="s">
        <v>8</v>
      </c>
      <c r="D89" s="4" t="s">
        <v>10</v>
      </c>
      <c r="E89" s="4" t="s">
        <v>15</v>
      </c>
    </row>
    <row r="90" customFormat="false" ht="15" hidden="false" customHeight="true" outlineLevel="0" collapsed="false">
      <c r="A90" s="4" t="s">
        <v>12</v>
      </c>
      <c r="B90" s="4" t="s">
        <v>10</v>
      </c>
      <c r="C90" s="4" t="s">
        <v>8</v>
      </c>
      <c r="D90" s="4" t="s">
        <v>8</v>
      </c>
      <c r="E90" s="4" t="s">
        <v>15</v>
      </c>
    </row>
    <row r="91" customFormat="false" ht="15" hidden="false" customHeight="true" outlineLevel="0" collapsed="false">
      <c r="A91" s="4" t="s">
        <v>12</v>
      </c>
      <c r="B91" s="4" t="s">
        <v>10</v>
      </c>
      <c r="C91" s="4" t="s">
        <v>8</v>
      </c>
      <c r="D91" s="4" t="s">
        <v>8</v>
      </c>
      <c r="E91" s="4" t="s">
        <v>15</v>
      </c>
    </row>
    <row r="92" customFormat="false" ht="15" hidden="false" customHeight="true" outlineLevel="0" collapsed="false">
      <c r="A92" s="4" t="s">
        <v>12</v>
      </c>
      <c r="B92" s="4" t="s">
        <v>8</v>
      </c>
      <c r="C92" s="4" t="s">
        <v>8</v>
      </c>
      <c r="D92" s="4" t="s">
        <v>8</v>
      </c>
      <c r="E92" s="4" t="s">
        <v>15</v>
      </c>
    </row>
    <row r="93" customFormat="false" ht="15" hidden="false" customHeight="true" outlineLevel="0" collapsed="false">
      <c r="A93" s="4" t="s">
        <v>12</v>
      </c>
      <c r="B93" s="4" t="s">
        <v>8</v>
      </c>
      <c r="C93" s="4" t="s">
        <v>7</v>
      </c>
      <c r="D93" s="4" t="s">
        <v>8</v>
      </c>
      <c r="E93" s="4" t="s">
        <v>15</v>
      </c>
    </row>
    <row r="94" customFormat="false" ht="15" hidden="false" customHeight="true" outlineLevel="0" collapsed="false">
      <c r="A94" s="4" t="s">
        <v>12</v>
      </c>
      <c r="B94" s="4" t="s">
        <v>8</v>
      </c>
      <c r="C94" s="4" t="s">
        <v>7</v>
      </c>
      <c r="D94" s="4" t="s">
        <v>8</v>
      </c>
      <c r="E94" s="4" t="s">
        <v>15</v>
      </c>
    </row>
    <row r="95" customFormat="false" ht="15" hidden="false" customHeight="true" outlineLevel="0" collapsed="false">
      <c r="A95" s="4" t="s">
        <v>12</v>
      </c>
      <c r="B95" s="4" t="s">
        <v>8</v>
      </c>
      <c r="C95" s="4" t="s">
        <v>7</v>
      </c>
      <c r="D95" s="4" t="s">
        <v>10</v>
      </c>
      <c r="E95" s="4" t="s">
        <v>15</v>
      </c>
    </row>
    <row r="96" customFormat="false" ht="15" hidden="false" customHeight="true" outlineLevel="0" collapsed="false">
      <c r="A96" s="4" t="s">
        <v>12</v>
      </c>
      <c r="B96" s="4" t="s">
        <v>8</v>
      </c>
      <c r="C96" s="4" t="s">
        <v>7</v>
      </c>
      <c r="D96" s="4" t="s">
        <v>8</v>
      </c>
      <c r="E96" s="4" t="s">
        <v>15</v>
      </c>
    </row>
    <row r="97" customFormat="false" ht="15" hidden="false" customHeight="true" outlineLevel="0" collapsed="false">
      <c r="A97" s="4" t="s">
        <v>12</v>
      </c>
      <c r="B97" s="4" t="s">
        <v>8</v>
      </c>
      <c r="C97" s="4" t="s">
        <v>8</v>
      </c>
      <c r="D97" s="4" t="s">
        <v>10</v>
      </c>
      <c r="E97" s="4" t="s">
        <v>15</v>
      </c>
    </row>
    <row r="98" customFormat="false" ht="15" hidden="false" customHeight="true" outlineLevel="0" collapsed="false">
      <c r="A98" s="4" t="s">
        <v>12</v>
      </c>
      <c r="B98" s="4" t="s">
        <v>8</v>
      </c>
      <c r="C98" s="4" t="s">
        <v>7</v>
      </c>
      <c r="D98" s="4" t="s">
        <v>10</v>
      </c>
      <c r="E98" s="4" t="s">
        <v>15</v>
      </c>
    </row>
    <row r="99" customFormat="false" ht="15" hidden="false" customHeight="true" outlineLevel="0" collapsed="false">
      <c r="A99" s="4" t="s">
        <v>12</v>
      </c>
      <c r="B99" s="4" t="s">
        <v>8</v>
      </c>
      <c r="C99" s="4" t="s">
        <v>7</v>
      </c>
      <c r="D99" s="4" t="s">
        <v>8</v>
      </c>
      <c r="E99" s="4" t="s">
        <v>15</v>
      </c>
    </row>
    <row r="100" customFormat="false" ht="15" hidden="false" customHeight="true" outlineLevel="0" collapsed="false">
      <c r="A100" s="4" t="s">
        <v>12</v>
      </c>
      <c r="B100" s="4" t="s">
        <v>8</v>
      </c>
      <c r="C100" s="4" t="s">
        <v>7</v>
      </c>
      <c r="D100" s="4" t="s">
        <v>8</v>
      </c>
      <c r="E100" s="4" t="s">
        <v>15</v>
      </c>
    </row>
    <row r="101" customFormat="false" ht="15" hidden="false" customHeight="true" outlineLevel="0" collapsed="false">
      <c r="A101" s="4" t="s">
        <v>12</v>
      </c>
      <c r="B101" s="4" t="s">
        <v>8</v>
      </c>
      <c r="C101" s="4" t="s">
        <v>8</v>
      </c>
      <c r="D101" s="4" t="s">
        <v>8</v>
      </c>
      <c r="E101" s="4" t="s">
        <v>15</v>
      </c>
    </row>
    <row r="102" customFormat="false" ht="15" hidden="false" customHeight="true" outlineLevel="0" collapsed="false">
      <c r="A102" s="4" t="s">
        <v>12</v>
      </c>
      <c r="B102" s="4" t="s">
        <v>8</v>
      </c>
      <c r="C102" s="4" t="s">
        <v>7</v>
      </c>
      <c r="D102" s="4" t="s">
        <v>10</v>
      </c>
      <c r="E102" s="4" t="s">
        <v>15</v>
      </c>
    </row>
    <row r="103" customFormat="false" ht="15" hidden="false" customHeight="true" outlineLevel="0" collapsed="false">
      <c r="A103" s="4" t="s">
        <v>12</v>
      </c>
      <c r="B103" s="4" t="s">
        <v>10</v>
      </c>
      <c r="C103" s="4" t="s">
        <v>8</v>
      </c>
      <c r="D103" s="4" t="s">
        <v>7</v>
      </c>
      <c r="E103" s="4" t="s">
        <v>15</v>
      </c>
    </row>
    <row r="104" customFormat="false" ht="15" hidden="false" customHeight="true" outlineLevel="0" collapsed="false">
      <c r="A104" s="4" t="s">
        <v>12</v>
      </c>
      <c r="B104" s="4" t="s">
        <v>8</v>
      </c>
      <c r="C104" s="4" t="s">
        <v>7</v>
      </c>
      <c r="D104" s="4" t="s">
        <v>10</v>
      </c>
      <c r="E104" s="4" t="s">
        <v>15</v>
      </c>
    </row>
    <row r="105" customFormat="false" ht="15" hidden="false" customHeight="true" outlineLevel="0" collapsed="false">
      <c r="A105" s="4" t="s">
        <v>12</v>
      </c>
      <c r="B105" s="4" t="s">
        <v>10</v>
      </c>
      <c r="C105" s="4" t="s">
        <v>8</v>
      </c>
      <c r="D105" s="4" t="s">
        <v>8</v>
      </c>
      <c r="E105" s="4" t="s">
        <v>15</v>
      </c>
    </row>
    <row r="106" customFormat="false" ht="15" hidden="false" customHeight="true" outlineLevel="0" collapsed="false">
      <c r="A106" s="4" t="s">
        <v>12</v>
      </c>
      <c r="B106" s="4" t="s">
        <v>8</v>
      </c>
      <c r="C106" s="4" t="s">
        <v>8</v>
      </c>
      <c r="D106" s="4" t="s">
        <v>10</v>
      </c>
      <c r="E106" s="4" t="s">
        <v>15</v>
      </c>
    </row>
    <row r="107" customFormat="false" ht="15" hidden="false" customHeight="true" outlineLevel="0" collapsed="false">
      <c r="A107" s="4" t="s">
        <v>12</v>
      </c>
      <c r="B107" s="4" t="s">
        <v>8</v>
      </c>
      <c r="C107" s="4" t="s">
        <v>8</v>
      </c>
      <c r="D107" s="4" t="s">
        <v>10</v>
      </c>
      <c r="E107" s="4" t="s">
        <v>15</v>
      </c>
    </row>
    <row r="108" customFormat="false" ht="15" hidden="false" customHeight="true" outlineLevel="0" collapsed="false">
      <c r="A108" s="4" t="s">
        <v>12</v>
      </c>
      <c r="B108" s="4" t="s">
        <v>8</v>
      </c>
      <c r="C108" s="4" t="s">
        <v>8</v>
      </c>
      <c r="D108" s="4" t="s">
        <v>8</v>
      </c>
      <c r="E108" s="4" t="s">
        <v>15</v>
      </c>
    </row>
    <row r="109" customFormat="false" ht="15" hidden="false" customHeight="true" outlineLevel="0" collapsed="false">
      <c r="A109" s="4" t="s">
        <v>12</v>
      </c>
      <c r="B109" s="4" t="s">
        <v>8</v>
      </c>
      <c r="C109" s="4" t="s">
        <v>7</v>
      </c>
      <c r="D109" s="4" t="s">
        <v>8</v>
      </c>
      <c r="E109" s="4" t="s">
        <v>15</v>
      </c>
    </row>
    <row r="110" customFormat="false" ht="15" hidden="false" customHeight="true" outlineLevel="0" collapsed="false">
      <c r="A110" s="4" t="s">
        <v>12</v>
      </c>
      <c r="B110" s="4" t="s">
        <v>10</v>
      </c>
      <c r="C110" s="4" t="s">
        <v>8</v>
      </c>
      <c r="D110" s="4" t="s">
        <v>8</v>
      </c>
      <c r="E110" s="4" t="s">
        <v>15</v>
      </c>
    </row>
    <row r="111" customFormat="false" ht="15" hidden="false" customHeight="true" outlineLevel="0" collapsed="false">
      <c r="A111" s="4" t="s">
        <v>12</v>
      </c>
      <c r="B111" s="4" t="s">
        <v>10</v>
      </c>
      <c r="C111" s="4" t="s">
        <v>8</v>
      </c>
      <c r="D111" s="4" t="s">
        <v>8</v>
      </c>
      <c r="E111" s="4" t="s">
        <v>15</v>
      </c>
    </row>
    <row r="112" customFormat="false" ht="15" hidden="false" customHeight="true" outlineLevel="0" collapsed="false">
      <c r="A112" s="4" t="s">
        <v>12</v>
      </c>
      <c r="B112" s="4" t="s">
        <v>10</v>
      </c>
      <c r="C112" s="4" t="s">
        <v>8</v>
      </c>
      <c r="D112" s="4" t="s">
        <v>8</v>
      </c>
      <c r="E112" s="4" t="s">
        <v>15</v>
      </c>
    </row>
    <row r="113" customFormat="false" ht="15" hidden="false" customHeight="true" outlineLevel="0" collapsed="false">
      <c r="A113" s="4" t="s">
        <v>6</v>
      </c>
      <c r="B113" s="4" t="s">
        <v>7</v>
      </c>
      <c r="C113" s="4" t="s">
        <v>8</v>
      </c>
      <c r="D113" s="4" t="s">
        <v>8</v>
      </c>
      <c r="E113" s="4" t="s">
        <v>16</v>
      </c>
    </row>
    <row r="114" customFormat="false" ht="15" hidden="false" customHeight="true" outlineLevel="0" collapsed="false">
      <c r="A114" s="4" t="s">
        <v>6</v>
      </c>
      <c r="B114" s="4" t="s">
        <v>7</v>
      </c>
      <c r="C114" s="4" t="s">
        <v>8</v>
      </c>
      <c r="D114" s="4" t="s">
        <v>8</v>
      </c>
      <c r="E114" s="4" t="s">
        <v>16</v>
      </c>
    </row>
    <row r="115" customFormat="false" ht="15" hidden="false" customHeight="true" outlineLevel="0" collapsed="false">
      <c r="A115" s="4" t="s">
        <v>6</v>
      </c>
      <c r="B115" s="4" t="s">
        <v>7</v>
      </c>
      <c r="C115" s="4" t="s">
        <v>8</v>
      </c>
      <c r="D115" s="4" t="s">
        <v>8</v>
      </c>
      <c r="E115" s="4" t="s">
        <v>16</v>
      </c>
    </row>
    <row r="116" customFormat="false" ht="15" hidden="false" customHeight="true" outlineLevel="0" collapsed="false">
      <c r="A116" s="4" t="s">
        <v>6</v>
      </c>
      <c r="B116" s="4" t="s">
        <v>7</v>
      </c>
      <c r="C116" s="4" t="s">
        <v>8</v>
      </c>
      <c r="D116" s="4" t="s">
        <v>8</v>
      </c>
      <c r="E116" s="4" t="s">
        <v>16</v>
      </c>
    </row>
    <row r="117" customFormat="false" ht="15" hidden="false" customHeight="true" outlineLevel="0" collapsed="false">
      <c r="A117" s="4" t="s">
        <v>6</v>
      </c>
      <c r="B117" s="4" t="s">
        <v>7</v>
      </c>
      <c r="C117" s="4" t="s">
        <v>8</v>
      </c>
      <c r="D117" s="4" t="s">
        <v>7</v>
      </c>
      <c r="E117" s="4" t="s">
        <v>16</v>
      </c>
    </row>
    <row r="118" customFormat="false" ht="15" hidden="false" customHeight="true" outlineLevel="0" collapsed="false">
      <c r="A118" s="4" t="s">
        <v>6</v>
      </c>
      <c r="B118" s="4" t="s">
        <v>7</v>
      </c>
      <c r="C118" s="4" t="s">
        <v>7</v>
      </c>
      <c r="D118" s="4" t="s">
        <v>7</v>
      </c>
      <c r="E118" s="4" t="s">
        <v>16</v>
      </c>
    </row>
    <row r="119" customFormat="false" ht="15" hidden="false" customHeight="true" outlineLevel="0" collapsed="false">
      <c r="A119" s="4" t="s">
        <v>6</v>
      </c>
      <c r="B119" s="4" t="s">
        <v>7</v>
      </c>
      <c r="C119" s="4" t="s">
        <v>8</v>
      </c>
      <c r="D119" s="4" t="s">
        <v>7</v>
      </c>
      <c r="E119" s="4" t="s">
        <v>16</v>
      </c>
    </row>
    <row r="120" customFormat="false" ht="15" hidden="false" customHeight="true" outlineLevel="0" collapsed="false">
      <c r="A120" s="4" t="s">
        <v>6</v>
      </c>
      <c r="B120" s="4" t="s">
        <v>7</v>
      </c>
      <c r="C120" s="4" t="s">
        <v>8</v>
      </c>
      <c r="D120" s="4" t="s">
        <v>7</v>
      </c>
      <c r="E120" s="4" t="s">
        <v>16</v>
      </c>
    </row>
    <row r="121" customFormat="false" ht="15" hidden="false" customHeight="true" outlineLevel="0" collapsed="false">
      <c r="A121" s="4" t="s">
        <v>6</v>
      </c>
      <c r="B121" s="4" t="s">
        <v>7</v>
      </c>
      <c r="C121" s="4" t="s">
        <v>8</v>
      </c>
      <c r="D121" s="4" t="s">
        <v>7</v>
      </c>
      <c r="E121" s="4" t="s">
        <v>16</v>
      </c>
    </row>
    <row r="122" customFormat="false" ht="15" hidden="false" customHeight="true" outlineLevel="0" collapsed="false">
      <c r="A122" s="4" t="s">
        <v>6</v>
      </c>
      <c r="B122" s="4" t="s">
        <v>7</v>
      </c>
      <c r="C122" s="4" t="s">
        <v>8</v>
      </c>
      <c r="D122" s="4" t="s">
        <v>7</v>
      </c>
      <c r="E122" s="4" t="s">
        <v>16</v>
      </c>
    </row>
    <row r="123" customFormat="false" ht="15" hidden="false" customHeight="true" outlineLevel="0" collapsed="false">
      <c r="A123" s="4" t="s">
        <v>6</v>
      </c>
      <c r="B123" s="4" t="s">
        <v>7</v>
      </c>
      <c r="C123" s="4" t="s">
        <v>8</v>
      </c>
      <c r="D123" s="4" t="s">
        <v>7</v>
      </c>
      <c r="E123" s="4" t="s">
        <v>16</v>
      </c>
    </row>
    <row r="124" customFormat="false" ht="15" hidden="false" customHeight="true" outlineLevel="0" collapsed="false">
      <c r="A124" s="4" t="s">
        <v>6</v>
      </c>
      <c r="B124" s="4" t="s">
        <v>7</v>
      </c>
      <c r="C124" s="4" t="s">
        <v>7</v>
      </c>
      <c r="D124" s="4" t="s">
        <v>7</v>
      </c>
      <c r="E124" s="4" t="s">
        <v>16</v>
      </c>
    </row>
    <row r="125" customFormat="false" ht="15" hidden="false" customHeight="true" outlineLevel="0" collapsed="false">
      <c r="A125" s="4" t="s">
        <v>6</v>
      </c>
      <c r="B125" s="4" t="s">
        <v>8</v>
      </c>
      <c r="C125" s="4" t="s">
        <v>7</v>
      </c>
      <c r="D125" s="4" t="s">
        <v>7</v>
      </c>
      <c r="E125" s="4" t="s">
        <v>16</v>
      </c>
    </row>
    <row r="126" customFormat="false" ht="15" hidden="false" customHeight="true" outlineLevel="0" collapsed="false">
      <c r="A126" s="4" t="s">
        <v>6</v>
      </c>
      <c r="B126" s="4" t="s">
        <v>8</v>
      </c>
      <c r="C126" s="4" t="s">
        <v>7</v>
      </c>
      <c r="D126" s="4" t="s">
        <v>7</v>
      </c>
      <c r="E126" s="4" t="s">
        <v>16</v>
      </c>
    </row>
    <row r="127" customFormat="false" ht="15" hidden="false" customHeight="true" outlineLevel="0" collapsed="false">
      <c r="A127" s="4" t="s">
        <v>6</v>
      </c>
      <c r="B127" s="4" t="s">
        <v>7</v>
      </c>
      <c r="C127" s="4" t="s">
        <v>8</v>
      </c>
      <c r="D127" s="4" t="s">
        <v>8</v>
      </c>
      <c r="E127" s="4" t="s">
        <v>16</v>
      </c>
    </row>
    <row r="128" customFormat="false" ht="15" hidden="false" customHeight="true" outlineLevel="0" collapsed="false">
      <c r="A128" s="4" t="s">
        <v>6</v>
      </c>
      <c r="B128" s="4" t="s">
        <v>8</v>
      </c>
      <c r="C128" s="4" t="s">
        <v>7</v>
      </c>
      <c r="D128" s="4" t="s">
        <v>7</v>
      </c>
      <c r="E128" s="4" t="s">
        <v>16</v>
      </c>
    </row>
    <row r="129" customFormat="false" ht="15" hidden="false" customHeight="true" outlineLevel="0" collapsed="false">
      <c r="A129" s="4" t="s">
        <v>11</v>
      </c>
      <c r="B129" s="4" t="s">
        <v>8</v>
      </c>
      <c r="C129" s="4" t="s">
        <v>7</v>
      </c>
      <c r="D129" s="4" t="s">
        <v>8</v>
      </c>
      <c r="E129" s="4" t="s">
        <v>16</v>
      </c>
    </row>
    <row r="130" customFormat="false" ht="15" hidden="false" customHeight="true" outlineLevel="0" collapsed="false">
      <c r="A130" s="4" t="s">
        <v>11</v>
      </c>
      <c r="B130" s="4" t="s">
        <v>7</v>
      </c>
      <c r="C130" s="4" t="s">
        <v>8</v>
      </c>
      <c r="D130" s="4" t="s">
        <v>8</v>
      </c>
      <c r="E130" s="4" t="s">
        <v>16</v>
      </c>
    </row>
    <row r="131" customFormat="false" ht="15" hidden="false" customHeight="true" outlineLevel="0" collapsed="false">
      <c r="A131" s="4" t="s">
        <v>11</v>
      </c>
      <c r="B131" s="4" t="s">
        <v>10</v>
      </c>
      <c r="C131" s="4" t="s">
        <v>8</v>
      </c>
      <c r="D131" s="4" t="s">
        <v>7</v>
      </c>
      <c r="E131" s="4" t="s">
        <v>16</v>
      </c>
    </row>
    <row r="132" customFormat="false" ht="15" hidden="false" customHeight="true" outlineLevel="0" collapsed="false">
      <c r="A132" s="4" t="s">
        <v>11</v>
      </c>
      <c r="B132" s="4" t="s">
        <v>7</v>
      </c>
      <c r="C132" s="4" t="s">
        <v>8</v>
      </c>
      <c r="D132" s="4" t="s">
        <v>8</v>
      </c>
      <c r="E132" s="4" t="s">
        <v>16</v>
      </c>
    </row>
    <row r="133" customFormat="false" ht="15" hidden="false" customHeight="true" outlineLevel="0" collapsed="false">
      <c r="A133" s="4" t="s">
        <v>11</v>
      </c>
      <c r="B133" s="4" t="s">
        <v>8</v>
      </c>
      <c r="C133" s="4" t="s">
        <v>7</v>
      </c>
      <c r="D133" s="4" t="s">
        <v>8</v>
      </c>
      <c r="E133" s="4" t="s">
        <v>16</v>
      </c>
    </row>
    <row r="134" customFormat="false" ht="15" hidden="false" customHeight="true" outlineLevel="0" collapsed="false">
      <c r="A134" s="4" t="s">
        <v>11</v>
      </c>
      <c r="B134" s="4" t="s">
        <v>10</v>
      </c>
      <c r="C134" s="4" t="s">
        <v>7</v>
      </c>
      <c r="D134" s="4" t="s">
        <v>8</v>
      </c>
      <c r="E134" s="4" t="s">
        <v>16</v>
      </c>
    </row>
    <row r="135" customFormat="false" ht="15" hidden="false" customHeight="true" outlineLevel="0" collapsed="false">
      <c r="A135" s="4" t="s">
        <v>11</v>
      </c>
      <c r="B135" s="4" t="s">
        <v>8</v>
      </c>
      <c r="C135" s="4" t="s">
        <v>7</v>
      </c>
      <c r="D135" s="4" t="s">
        <v>7</v>
      </c>
      <c r="E135" s="4" t="s">
        <v>16</v>
      </c>
    </row>
    <row r="136" customFormat="false" ht="15" hidden="false" customHeight="true" outlineLevel="0" collapsed="false">
      <c r="A136" s="4" t="s">
        <v>11</v>
      </c>
      <c r="B136" s="4" t="s">
        <v>7</v>
      </c>
      <c r="C136" s="4" t="s">
        <v>7</v>
      </c>
      <c r="D136" s="4" t="s">
        <v>7</v>
      </c>
      <c r="E136" s="4" t="s">
        <v>16</v>
      </c>
    </row>
    <row r="137" customFormat="false" ht="15" hidden="false" customHeight="true" outlineLevel="0" collapsed="false">
      <c r="A137" s="4" t="s">
        <v>11</v>
      </c>
      <c r="B137" s="4" t="s">
        <v>7</v>
      </c>
      <c r="C137" s="4" t="s">
        <v>8</v>
      </c>
      <c r="D137" s="4" t="s">
        <v>8</v>
      </c>
      <c r="E137" s="4" t="s">
        <v>16</v>
      </c>
    </row>
    <row r="138" customFormat="false" ht="15" hidden="false" customHeight="true" outlineLevel="0" collapsed="false">
      <c r="A138" s="4" t="s">
        <v>11</v>
      </c>
      <c r="B138" s="4" t="s">
        <v>7</v>
      </c>
      <c r="C138" s="4" t="s">
        <v>7</v>
      </c>
      <c r="D138" s="4" t="s">
        <v>7</v>
      </c>
      <c r="E138" s="4" t="s">
        <v>16</v>
      </c>
    </row>
    <row r="139" customFormat="false" ht="15" hidden="false" customHeight="true" outlineLevel="0" collapsed="false">
      <c r="A139" s="4" t="s">
        <v>11</v>
      </c>
      <c r="B139" s="4" t="s">
        <v>7</v>
      </c>
      <c r="C139" s="4" t="s">
        <v>8</v>
      </c>
      <c r="D139" s="4" t="s">
        <v>7</v>
      </c>
      <c r="E139" s="4" t="s">
        <v>16</v>
      </c>
    </row>
    <row r="140" customFormat="false" ht="15" hidden="false" customHeight="true" outlineLevel="0" collapsed="false">
      <c r="A140" s="4" t="s">
        <v>11</v>
      </c>
      <c r="B140" s="4" t="s">
        <v>10</v>
      </c>
      <c r="C140" s="4" t="s">
        <v>7</v>
      </c>
      <c r="D140" s="4" t="s">
        <v>7</v>
      </c>
      <c r="E140" s="4" t="s">
        <v>16</v>
      </c>
    </row>
    <row r="141" customFormat="false" ht="15" hidden="false" customHeight="true" outlineLevel="0" collapsed="false">
      <c r="A141" s="4" t="s">
        <v>11</v>
      </c>
      <c r="B141" s="4" t="s">
        <v>7</v>
      </c>
      <c r="C141" s="4" t="s">
        <v>7</v>
      </c>
      <c r="D141" s="4" t="s">
        <v>8</v>
      </c>
      <c r="E141" s="4" t="s">
        <v>16</v>
      </c>
    </row>
    <row r="142" customFormat="false" ht="15" hidden="false" customHeight="true" outlineLevel="0" collapsed="false">
      <c r="A142" s="4" t="s">
        <v>11</v>
      </c>
      <c r="B142" s="4" t="s">
        <v>7</v>
      </c>
      <c r="C142" s="4" t="s">
        <v>8</v>
      </c>
      <c r="D142" s="4" t="s">
        <v>8</v>
      </c>
      <c r="E142" s="4" t="s">
        <v>16</v>
      </c>
    </row>
    <row r="143" customFormat="false" ht="15" hidden="false" customHeight="true" outlineLevel="0" collapsed="false">
      <c r="A143" s="4" t="s">
        <v>11</v>
      </c>
      <c r="B143" s="4" t="s">
        <v>8</v>
      </c>
      <c r="C143" s="4" t="s">
        <v>7</v>
      </c>
      <c r="D143" s="4" t="s">
        <v>7</v>
      </c>
      <c r="E143" s="4" t="s">
        <v>16</v>
      </c>
    </row>
    <row r="144" customFormat="false" ht="15" hidden="false" customHeight="true" outlineLevel="0" collapsed="false">
      <c r="A144" s="4" t="s">
        <v>11</v>
      </c>
      <c r="B144" s="4" t="s">
        <v>8</v>
      </c>
      <c r="C144" s="4" t="s">
        <v>7</v>
      </c>
      <c r="D144" s="4" t="s">
        <v>8</v>
      </c>
      <c r="E144" s="4" t="s">
        <v>16</v>
      </c>
    </row>
    <row r="145" customFormat="false" ht="15" hidden="false" customHeight="true" outlineLevel="0" collapsed="false">
      <c r="A145" s="4" t="s">
        <v>11</v>
      </c>
      <c r="B145" s="4" t="s">
        <v>7</v>
      </c>
      <c r="C145" s="4" t="s">
        <v>8</v>
      </c>
      <c r="D145" s="4" t="s">
        <v>7</v>
      </c>
      <c r="E145" s="4" t="s">
        <v>16</v>
      </c>
    </row>
    <row r="146" customFormat="false" ht="15" hidden="false" customHeight="true" outlineLevel="0" collapsed="false">
      <c r="A146" s="4" t="s">
        <v>11</v>
      </c>
      <c r="B146" s="4" t="s">
        <v>10</v>
      </c>
      <c r="C146" s="4" t="s">
        <v>8</v>
      </c>
      <c r="D146" s="4" t="s">
        <v>8</v>
      </c>
      <c r="E146" s="4" t="s">
        <v>16</v>
      </c>
    </row>
    <row r="147" customFormat="false" ht="15" hidden="false" customHeight="true" outlineLevel="0" collapsed="false">
      <c r="A147" s="4" t="s">
        <v>11</v>
      </c>
      <c r="B147" s="4" t="s">
        <v>7</v>
      </c>
      <c r="C147" s="4" t="s">
        <v>8</v>
      </c>
      <c r="D147" s="4" t="s">
        <v>7</v>
      </c>
      <c r="E147" s="4" t="s">
        <v>16</v>
      </c>
    </row>
    <row r="148" customFormat="false" ht="15" hidden="false" customHeight="true" outlineLevel="0" collapsed="false">
      <c r="A148" s="4" t="s">
        <v>11</v>
      </c>
      <c r="B148" s="4" t="s">
        <v>10</v>
      </c>
      <c r="C148" s="4" t="s">
        <v>7</v>
      </c>
      <c r="D148" s="4" t="s">
        <v>8</v>
      </c>
      <c r="E148" s="4" t="s">
        <v>16</v>
      </c>
    </row>
    <row r="149" customFormat="false" ht="15" hidden="false" customHeight="true" outlineLevel="0" collapsed="false">
      <c r="A149" s="4" t="s">
        <v>11</v>
      </c>
      <c r="B149" s="4" t="s">
        <v>10</v>
      </c>
      <c r="C149" s="4" t="s">
        <v>8</v>
      </c>
      <c r="D149" s="4" t="s">
        <v>7</v>
      </c>
      <c r="E149" s="4" t="s">
        <v>16</v>
      </c>
    </row>
    <row r="150" customFormat="false" ht="15" hidden="false" customHeight="true" outlineLevel="0" collapsed="false">
      <c r="A150" s="4" t="s">
        <v>11</v>
      </c>
      <c r="B150" s="4" t="s">
        <v>8</v>
      </c>
      <c r="C150" s="4" t="s">
        <v>7</v>
      </c>
      <c r="D150" s="4" t="s">
        <v>8</v>
      </c>
      <c r="E150" s="4" t="s">
        <v>16</v>
      </c>
    </row>
    <row r="151" customFormat="false" ht="15" hidden="false" customHeight="true" outlineLevel="0" collapsed="false">
      <c r="A151" s="4" t="s">
        <v>11</v>
      </c>
      <c r="B151" s="4" t="s">
        <v>8</v>
      </c>
      <c r="C151" s="4" t="s">
        <v>8</v>
      </c>
      <c r="D151" s="4" t="s">
        <v>8</v>
      </c>
      <c r="E151" s="4" t="s">
        <v>16</v>
      </c>
    </row>
    <row r="152" customFormat="false" ht="15" hidden="false" customHeight="true" outlineLevel="0" collapsed="false">
      <c r="A152" s="4" t="s">
        <v>11</v>
      </c>
      <c r="B152" s="4" t="s">
        <v>10</v>
      </c>
      <c r="C152" s="4" t="s">
        <v>8</v>
      </c>
      <c r="D152" s="4" t="s">
        <v>7</v>
      </c>
      <c r="E152" s="4" t="s">
        <v>16</v>
      </c>
    </row>
    <row r="153" customFormat="false" ht="15" hidden="false" customHeight="true" outlineLevel="0" collapsed="false">
      <c r="A153" s="4" t="s">
        <v>11</v>
      </c>
      <c r="B153" s="4" t="s">
        <v>7</v>
      </c>
      <c r="C153" s="4" t="s">
        <v>7</v>
      </c>
      <c r="D153" s="4" t="s">
        <v>7</v>
      </c>
      <c r="E153" s="4" t="s">
        <v>16</v>
      </c>
    </row>
    <row r="154" customFormat="false" ht="15" hidden="false" customHeight="true" outlineLevel="0" collapsed="false">
      <c r="A154" s="4" t="s">
        <v>11</v>
      </c>
      <c r="B154" s="4" t="s">
        <v>7</v>
      </c>
      <c r="C154" s="4" t="s">
        <v>8</v>
      </c>
      <c r="D154" s="4" t="s">
        <v>8</v>
      </c>
      <c r="E154" s="4" t="s">
        <v>16</v>
      </c>
    </row>
    <row r="155" customFormat="false" ht="15" hidden="false" customHeight="true" outlineLevel="0" collapsed="false">
      <c r="A155" s="4" t="s">
        <v>11</v>
      </c>
      <c r="B155" s="4" t="s">
        <v>10</v>
      </c>
      <c r="C155" s="4" t="s">
        <v>8</v>
      </c>
      <c r="D155" s="4" t="s">
        <v>8</v>
      </c>
      <c r="E155" s="4" t="s">
        <v>16</v>
      </c>
    </row>
    <row r="156" customFormat="false" ht="15" hidden="false" customHeight="true" outlineLevel="0" collapsed="false">
      <c r="A156" s="4" t="s">
        <v>11</v>
      </c>
      <c r="B156" s="4" t="s">
        <v>8</v>
      </c>
      <c r="C156" s="4" t="s">
        <v>8</v>
      </c>
      <c r="D156" s="4" t="s">
        <v>7</v>
      </c>
      <c r="E156" s="4" t="s">
        <v>16</v>
      </c>
    </row>
    <row r="157" customFormat="false" ht="15" hidden="false" customHeight="true" outlineLevel="0" collapsed="false">
      <c r="A157" s="4" t="s">
        <v>11</v>
      </c>
      <c r="B157" s="4" t="s">
        <v>10</v>
      </c>
      <c r="C157" s="4" t="s">
        <v>7</v>
      </c>
      <c r="D157" s="4" t="s">
        <v>7</v>
      </c>
      <c r="E157" s="4" t="s">
        <v>16</v>
      </c>
    </row>
    <row r="158" customFormat="false" ht="15" hidden="false" customHeight="true" outlineLevel="0" collapsed="false">
      <c r="A158" s="4" t="s">
        <v>11</v>
      </c>
      <c r="B158" s="4" t="s">
        <v>7</v>
      </c>
      <c r="C158" s="4" t="s">
        <v>7</v>
      </c>
      <c r="D158" s="4" t="s">
        <v>7</v>
      </c>
      <c r="E158" s="4" t="s">
        <v>16</v>
      </c>
    </row>
    <row r="159" customFormat="false" ht="15" hidden="false" customHeight="true" outlineLevel="0" collapsed="false">
      <c r="A159" s="4" t="s">
        <v>11</v>
      </c>
      <c r="B159" s="4" t="s">
        <v>10</v>
      </c>
      <c r="C159" s="4" t="s">
        <v>8</v>
      </c>
      <c r="D159" s="4" t="s">
        <v>7</v>
      </c>
      <c r="E159" s="4" t="s">
        <v>16</v>
      </c>
    </row>
    <row r="160" customFormat="false" ht="15" hidden="false" customHeight="true" outlineLevel="0" collapsed="false">
      <c r="A160" s="4" t="s">
        <v>11</v>
      </c>
      <c r="B160" s="4" t="s">
        <v>10</v>
      </c>
      <c r="C160" s="4" t="s">
        <v>7</v>
      </c>
      <c r="D160" s="4" t="s">
        <v>8</v>
      </c>
      <c r="E160" s="4" t="s">
        <v>16</v>
      </c>
    </row>
    <row r="161" customFormat="false" ht="15" hidden="false" customHeight="true" outlineLevel="0" collapsed="false">
      <c r="A161" s="4" t="s">
        <v>11</v>
      </c>
      <c r="B161" s="4" t="s">
        <v>10</v>
      </c>
      <c r="C161" s="4" t="s">
        <v>8</v>
      </c>
      <c r="D161" s="4" t="s">
        <v>8</v>
      </c>
      <c r="E161" s="4" t="s">
        <v>16</v>
      </c>
    </row>
    <row r="162" customFormat="false" ht="15" hidden="false" customHeight="true" outlineLevel="0" collapsed="false">
      <c r="A162" s="4" t="s">
        <v>12</v>
      </c>
      <c r="B162" s="4" t="s">
        <v>10</v>
      </c>
      <c r="C162" s="4" t="s">
        <v>7</v>
      </c>
      <c r="D162" s="4" t="s">
        <v>8</v>
      </c>
      <c r="E162" s="4" t="s">
        <v>16</v>
      </c>
    </row>
    <row r="163" customFormat="false" ht="15" hidden="false" customHeight="true" outlineLevel="0" collapsed="false">
      <c r="A163" s="4" t="s">
        <v>12</v>
      </c>
      <c r="B163" s="4" t="s">
        <v>7</v>
      </c>
      <c r="C163" s="4" t="s">
        <v>7</v>
      </c>
      <c r="D163" s="4" t="s">
        <v>7</v>
      </c>
      <c r="E163" s="4" t="s">
        <v>16</v>
      </c>
    </row>
    <row r="164" customFormat="false" ht="15" hidden="false" customHeight="true" outlineLevel="0" collapsed="false">
      <c r="A164" s="4" t="s">
        <v>12</v>
      </c>
      <c r="B164" s="4" t="s">
        <v>10</v>
      </c>
      <c r="C164" s="4" t="s">
        <v>8</v>
      </c>
      <c r="D164" s="4" t="s">
        <v>7</v>
      </c>
      <c r="E164" s="4" t="s">
        <v>16</v>
      </c>
    </row>
    <row r="165" customFormat="false" ht="15" hidden="false" customHeight="true" outlineLevel="0" collapsed="false">
      <c r="A165" s="4" t="s">
        <v>12</v>
      </c>
      <c r="B165" s="4" t="s">
        <v>10</v>
      </c>
      <c r="C165" s="4" t="s">
        <v>8</v>
      </c>
      <c r="D165" s="4" t="s">
        <v>7</v>
      </c>
      <c r="E165" s="4" t="s">
        <v>16</v>
      </c>
    </row>
    <row r="166" customFormat="false" ht="15" hidden="false" customHeight="true" outlineLevel="0" collapsed="false">
      <c r="A166" s="4" t="s">
        <v>12</v>
      </c>
      <c r="B166" s="4" t="s">
        <v>10</v>
      </c>
      <c r="C166" s="4" t="s">
        <v>7</v>
      </c>
      <c r="D166" s="4" t="s">
        <v>8</v>
      </c>
      <c r="E166" s="4" t="s">
        <v>16</v>
      </c>
    </row>
    <row r="167" customFormat="false" ht="15" hidden="false" customHeight="true" outlineLevel="0" collapsed="false">
      <c r="A167" s="4" t="s">
        <v>12</v>
      </c>
      <c r="B167" s="4" t="s">
        <v>8</v>
      </c>
      <c r="C167" s="4" t="s">
        <v>7</v>
      </c>
      <c r="D167" s="4" t="s">
        <v>8</v>
      </c>
      <c r="E167" s="4" t="s">
        <v>16</v>
      </c>
    </row>
    <row r="168" customFormat="false" ht="15" hidden="false" customHeight="true" outlineLevel="0" collapsed="false">
      <c r="A168" s="4" t="s">
        <v>12</v>
      </c>
      <c r="B168" s="4" t="s">
        <v>8</v>
      </c>
      <c r="C168" s="4" t="s">
        <v>8</v>
      </c>
      <c r="D168" s="4" t="s">
        <v>8</v>
      </c>
      <c r="E168" s="4" t="s">
        <v>16</v>
      </c>
    </row>
    <row r="169" customFormat="false" ht="15" hidden="false" customHeight="true" outlineLevel="0" collapsed="false">
      <c r="A169" s="4" t="s">
        <v>12</v>
      </c>
      <c r="B169" s="4" t="s">
        <v>8</v>
      </c>
      <c r="C169" s="4" t="s">
        <v>8</v>
      </c>
      <c r="D169" s="4" t="s">
        <v>7</v>
      </c>
      <c r="E169" s="4" t="s">
        <v>16</v>
      </c>
    </row>
    <row r="170" customFormat="false" ht="15" hidden="false" customHeight="true" outlineLevel="0" collapsed="false">
      <c r="A170" s="4" t="s">
        <v>12</v>
      </c>
      <c r="B170" s="4" t="s">
        <v>7</v>
      </c>
      <c r="C170" s="4" t="s">
        <v>7</v>
      </c>
      <c r="D170" s="4" t="s">
        <v>8</v>
      </c>
      <c r="E170" s="4" t="s">
        <v>16</v>
      </c>
    </row>
    <row r="171" customFormat="false" ht="15" hidden="false" customHeight="true" outlineLevel="0" collapsed="false">
      <c r="A171" s="4" t="s">
        <v>12</v>
      </c>
      <c r="B171" s="4" t="s">
        <v>10</v>
      </c>
      <c r="C171" s="4" t="s">
        <v>8</v>
      </c>
      <c r="D171" s="4" t="s">
        <v>7</v>
      </c>
      <c r="E171" s="4" t="s">
        <v>16</v>
      </c>
    </row>
    <row r="172" customFormat="false" ht="15" hidden="false" customHeight="true" outlineLevel="0" collapsed="false">
      <c r="A172" s="4" t="s">
        <v>12</v>
      </c>
      <c r="B172" s="4" t="s">
        <v>10</v>
      </c>
      <c r="C172" s="4" t="s">
        <v>8</v>
      </c>
      <c r="D172" s="4" t="s">
        <v>7</v>
      </c>
      <c r="E172" s="4" t="s">
        <v>16</v>
      </c>
    </row>
    <row r="173" customFormat="false" ht="15" hidden="false" customHeight="true" outlineLevel="0" collapsed="false">
      <c r="A173" s="4" t="s">
        <v>12</v>
      </c>
      <c r="B173" s="4" t="s">
        <v>10</v>
      </c>
      <c r="C173" s="4" t="s">
        <v>7</v>
      </c>
      <c r="D173" s="4" t="s">
        <v>7</v>
      </c>
      <c r="E173" s="4" t="s">
        <v>16</v>
      </c>
    </row>
    <row r="174" customFormat="false" ht="15" hidden="false" customHeight="true" outlineLevel="0" collapsed="false">
      <c r="A174" s="4" t="s">
        <v>12</v>
      </c>
      <c r="B174" s="4" t="s">
        <v>8</v>
      </c>
      <c r="C174" s="4" t="s">
        <v>7</v>
      </c>
      <c r="D174" s="4" t="s">
        <v>7</v>
      </c>
      <c r="E174" s="4" t="s">
        <v>16</v>
      </c>
    </row>
    <row r="175" customFormat="false" ht="15" hidden="false" customHeight="true" outlineLevel="0" collapsed="false">
      <c r="A175" s="4" t="s">
        <v>12</v>
      </c>
      <c r="B175" s="4" t="s">
        <v>10</v>
      </c>
      <c r="C175" s="4" t="s">
        <v>7</v>
      </c>
      <c r="D175" s="4" t="s">
        <v>8</v>
      </c>
      <c r="E175" s="4" t="s">
        <v>16</v>
      </c>
    </row>
    <row r="176" customFormat="false" ht="15" hidden="false" customHeight="true" outlineLevel="0" collapsed="false">
      <c r="A176" s="4" t="s">
        <v>12</v>
      </c>
      <c r="B176" s="4" t="s">
        <v>7</v>
      </c>
      <c r="C176" s="4" t="s">
        <v>7</v>
      </c>
      <c r="D176" s="4" t="s">
        <v>7</v>
      </c>
      <c r="E176" s="4" t="s">
        <v>16</v>
      </c>
    </row>
    <row r="177" customFormat="false" ht="15" hidden="false" customHeight="true" outlineLevel="0" collapsed="false">
      <c r="A177" s="4" t="s">
        <v>12</v>
      </c>
      <c r="B177" s="4" t="s">
        <v>10</v>
      </c>
      <c r="C177" s="4" t="s">
        <v>8</v>
      </c>
      <c r="D177" s="4" t="s">
        <v>8</v>
      </c>
      <c r="E177" s="4" t="s">
        <v>16</v>
      </c>
    </row>
    <row r="178" customFormat="false" ht="15" hidden="false" customHeight="true" outlineLevel="0" collapsed="false">
      <c r="A178" s="4" t="s">
        <v>12</v>
      </c>
      <c r="B178" s="4" t="s">
        <v>8</v>
      </c>
      <c r="C178" s="4" t="s">
        <v>8</v>
      </c>
      <c r="D178" s="4" t="s">
        <v>7</v>
      </c>
      <c r="E178" s="4" t="s">
        <v>16</v>
      </c>
    </row>
    <row r="179" customFormat="false" ht="15" hidden="false" customHeight="true" outlineLevel="0" collapsed="false">
      <c r="A179" s="4" t="s">
        <v>12</v>
      </c>
      <c r="B179" s="4" t="s">
        <v>7</v>
      </c>
      <c r="C179" s="4" t="s">
        <v>7</v>
      </c>
      <c r="D179" s="4" t="s">
        <v>8</v>
      </c>
      <c r="E179" s="4" t="s">
        <v>16</v>
      </c>
    </row>
    <row r="180" customFormat="false" ht="15" hidden="false" customHeight="true" outlineLevel="0" collapsed="false">
      <c r="A180" s="4" t="s">
        <v>12</v>
      </c>
      <c r="B180" s="4" t="s">
        <v>7</v>
      </c>
      <c r="C180" s="4" t="s">
        <v>7</v>
      </c>
      <c r="D180" s="4" t="s">
        <v>8</v>
      </c>
      <c r="E180" s="4" t="s">
        <v>16</v>
      </c>
    </row>
    <row r="181" customFormat="false" ht="15" hidden="false" customHeight="true" outlineLevel="0" collapsed="false">
      <c r="A181" s="4" t="s">
        <v>12</v>
      </c>
      <c r="B181" s="4" t="s">
        <v>10</v>
      </c>
      <c r="C181" s="4" t="s">
        <v>7</v>
      </c>
      <c r="D181" s="4" t="s">
        <v>7</v>
      </c>
      <c r="E181" s="4" t="s">
        <v>16</v>
      </c>
    </row>
    <row r="182" customFormat="false" ht="15" hidden="false" customHeight="true" outlineLevel="0" collapsed="false">
      <c r="A182" s="4" t="s">
        <v>12</v>
      </c>
      <c r="B182" s="4" t="s">
        <v>10</v>
      </c>
      <c r="C182" s="4" t="s">
        <v>7</v>
      </c>
      <c r="D182" s="4" t="s">
        <v>7</v>
      </c>
      <c r="E182" s="4" t="s">
        <v>16</v>
      </c>
    </row>
    <row r="183" customFormat="false" ht="15" hidden="false" customHeight="true" outlineLevel="0" collapsed="false">
      <c r="A183" s="4" t="s">
        <v>12</v>
      </c>
      <c r="B183" s="4" t="s">
        <v>8</v>
      </c>
      <c r="C183" s="4" t="s">
        <v>7</v>
      </c>
      <c r="D183" s="4" t="s">
        <v>8</v>
      </c>
      <c r="E183" s="4" t="s">
        <v>16</v>
      </c>
    </row>
    <row r="184" customFormat="false" ht="15" hidden="false" customHeight="true" outlineLevel="0" collapsed="false">
      <c r="A184" s="4" t="s">
        <v>12</v>
      </c>
      <c r="B184" s="4" t="s">
        <v>10</v>
      </c>
      <c r="C184" s="4" t="s">
        <v>7</v>
      </c>
      <c r="D184" s="4" t="s">
        <v>8</v>
      </c>
      <c r="E184" s="4" t="s">
        <v>16</v>
      </c>
    </row>
    <row r="185" customFormat="false" ht="15" hidden="false" customHeight="true" outlineLevel="0" collapsed="false">
      <c r="A185" s="4" t="s">
        <v>12</v>
      </c>
      <c r="B185" s="4" t="s">
        <v>7</v>
      </c>
      <c r="C185" s="4" t="s">
        <v>7</v>
      </c>
      <c r="D185" s="4" t="s">
        <v>7</v>
      </c>
      <c r="E185" s="4" t="s">
        <v>16</v>
      </c>
    </row>
    <row r="186" customFormat="false" ht="15" hidden="false" customHeight="true" outlineLevel="0" collapsed="false">
      <c r="A186" s="4" t="s">
        <v>12</v>
      </c>
      <c r="B186" s="4" t="s">
        <v>8</v>
      </c>
      <c r="C186" s="4" t="s">
        <v>7</v>
      </c>
      <c r="D186" s="4" t="s">
        <v>8</v>
      </c>
      <c r="E186" s="4" t="s">
        <v>16</v>
      </c>
    </row>
    <row r="187" customFormat="false" ht="15" hidden="false" customHeight="true" outlineLevel="0" collapsed="false">
      <c r="A187" s="4" t="s">
        <v>12</v>
      </c>
      <c r="B187" s="4" t="s">
        <v>10</v>
      </c>
      <c r="C187" s="4" t="s">
        <v>8</v>
      </c>
      <c r="D187" s="4" t="s">
        <v>7</v>
      </c>
      <c r="E187" s="4" t="s">
        <v>16</v>
      </c>
    </row>
    <row r="188" customFormat="false" ht="15" hidden="false" customHeight="true" outlineLevel="0" collapsed="false">
      <c r="A188" s="4" t="s">
        <v>12</v>
      </c>
      <c r="B188" s="4" t="s">
        <v>8</v>
      </c>
      <c r="C188" s="4" t="s">
        <v>7</v>
      </c>
      <c r="D188" s="4" t="s">
        <v>7</v>
      </c>
      <c r="E188" s="4" t="s">
        <v>16</v>
      </c>
    </row>
    <row r="189" customFormat="false" ht="15" hidden="false" customHeight="true" outlineLevel="0" collapsed="false">
      <c r="A189" s="4" t="s">
        <v>12</v>
      </c>
      <c r="B189" s="4" t="s">
        <v>7</v>
      </c>
      <c r="C189" s="4" t="s">
        <v>8</v>
      </c>
      <c r="D189" s="4" t="s">
        <v>7</v>
      </c>
      <c r="E189" s="4" t="s">
        <v>16</v>
      </c>
    </row>
    <row r="190" customFormat="false" ht="15" hidden="false" customHeight="true" outlineLevel="0" collapsed="false">
      <c r="A190" s="4" t="s">
        <v>12</v>
      </c>
      <c r="B190" s="4" t="s">
        <v>10</v>
      </c>
      <c r="C190" s="4" t="s">
        <v>8</v>
      </c>
      <c r="D190" s="4" t="s">
        <v>7</v>
      </c>
      <c r="E190" s="4" t="s">
        <v>16</v>
      </c>
    </row>
    <row r="191" customFormat="false" ht="15" hidden="false" customHeight="true" outlineLevel="0" collapsed="false">
      <c r="A191" s="4" t="s">
        <v>12</v>
      </c>
      <c r="B191" s="4" t="s">
        <v>7</v>
      </c>
      <c r="C191" s="4" t="s">
        <v>8</v>
      </c>
      <c r="D191" s="4" t="s">
        <v>7</v>
      </c>
      <c r="E191" s="4" t="s">
        <v>16</v>
      </c>
    </row>
    <row r="192" customFormat="false" ht="15" hidden="false" customHeight="true" outlineLevel="0" collapsed="false">
      <c r="A192" s="4" t="s">
        <v>12</v>
      </c>
      <c r="B192" s="4" t="s">
        <v>7</v>
      </c>
      <c r="C192" s="4" t="s">
        <v>8</v>
      </c>
      <c r="D192" s="4" t="s">
        <v>7</v>
      </c>
      <c r="E192" s="4" t="s">
        <v>16</v>
      </c>
    </row>
    <row r="193" customFormat="false" ht="15" hidden="false" customHeight="true" outlineLevel="0" collapsed="false">
      <c r="A193" s="4" t="s">
        <v>12</v>
      </c>
      <c r="B193" s="4" t="s">
        <v>7</v>
      </c>
      <c r="C193" s="4" t="s">
        <v>7</v>
      </c>
      <c r="D193" s="4" t="s">
        <v>8</v>
      </c>
      <c r="E193" s="4" t="s">
        <v>16</v>
      </c>
    </row>
    <row r="194" customFormat="false" ht="15" hidden="false" customHeight="true" outlineLevel="0" collapsed="false">
      <c r="A194" s="4" t="s">
        <v>12</v>
      </c>
      <c r="B194" s="4" t="s">
        <v>8</v>
      </c>
      <c r="C194" s="4" t="s">
        <v>7</v>
      </c>
      <c r="D194" s="4" t="s">
        <v>8</v>
      </c>
      <c r="E194" s="4" t="s">
        <v>16</v>
      </c>
    </row>
    <row r="195" customFormat="false" ht="15" hidden="false" customHeight="true" outlineLevel="0" collapsed="false">
      <c r="A195" s="4" t="s">
        <v>12</v>
      </c>
      <c r="B195" s="4" t="s">
        <v>10</v>
      </c>
      <c r="C195" s="4" t="s">
        <v>8</v>
      </c>
      <c r="D195" s="4" t="s">
        <v>7</v>
      </c>
      <c r="E195" s="4" t="s">
        <v>16</v>
      </c>
    </row>
    <row r="196" customFormat="false" ht="15" hidden="false" customHeight="true" outlineLevel="0" collapsed="false">
      <c r="A196" s="4" t="s">
        <v>12</v>
      </c>
      <c r="B196" s="4" t="s">
        <v>8</v>
      </c>
      <c r="C196" s="4" t="s">
        <v>8</v>
      </c>
      <c r="D196" s="4" t="s">
        <v>7</v>
      </c>
      <c r="E196" s="4" t="s">
        <v>16</v>
      </c>
    </row>
    <row r="197" customFormat="false" ht="15" hidden="false" customHeight="true" outlineLevel="0" collapsed="false">
      <c r="A197" s="4" t="s">
        <v>12</v>
      </c>
      <c r="B197" s="4" t="s">
        <v>10</v>
      </c>
      <c r="C197" s="4" t="s">
        <v>7</v>
      </c>
      <c r="D197" s="4" t="s">
        <v>8</v>
      </c>
      <c r="E197" s="4" t="s">
        <v>16</v>
      </c>
    </row>
    <row r="198" customFormat="false" ht="15" hidden="false" customHeight="true" outlineLevel="0" collapsed="false">
      <c r="A198" s="4" t="s">
        <v>12</v>
      </c>
      <c r="B198" s="4" t="s">
        <v>8</v>
      </c>
      <c r="C198" s="4" t="s">
        <v>7</v>
      </c>
      <c r="D198" s="4" t="s">
        <v>7</v>
      </c>
      <c r="E198" s="4" t="s">
        <v>16</v>
      </c>
    </row>
    <row r="199" customFormat="false" ht="15" hidden="false" customHeight="true" outlineLevel="0" collapsed="false">
      <c r="A199" s="4" t="s">
        <v>12</v>
      </c>
      <c r="B199" s="4" t="s">
        <v>10</v>
      </c>
      <c r="C199" s="4" t="s">
        <v>7</v>
      </c>
      <c r="D199" s="4" t="s">
        <v>7</v>
      </c>
      <c r="E199" s="4" t="s">
        <v>16</v>
      </c>
    </row>
    <row r="200" customFormat="false" ht="15" hidden="false" customHeight="true" outlineLevel="0" collapsed="false">
      <c r="A200" s="4" t="s">
        <v>12</v>
      </c>
      <c r="B200" s="4" t="s">
        <v>7</v>
      </c>
      <c r="C200" s="4" t="s">
        <v>7</v>
      </c>
      <c r="D200" s="4" t="s">
        <v>8</v>
      </c>
      <c r="E200" s="4" t="s">
        <v>16</v>
      </c>
    </row>
    <row r="201" customFormat="false" ht="15" hidden="false" customHeight="true" outlineLevel="0" collapsed="false">
      <c r="A201" s="4" t="s">
        <v>12</v>
      </c>
      <c r="B201" s="4" t="s">
        <v>8</v>
      </c>
      <c r="C201" s="4" t="s">
        <v>7</v>
      </c>
      <c r="D201" s="4" t="s">
        <v>8</v>
      </c>
      <c r="E201" s="4" t="s">
        <v>16</v>
      </c>
    </row>
    <row r="202" customFormat="false" ht="15" hidden="false" customHeight="true" outlineLevel="0" collapsed="false">
      <c r="A202" s="4" t="s">
        <v>12</v>
      </c>
      <c r="B202" s="4" t="s">
        <v>7</v>
      </c>
      <c r="C202" s="4" t="s">
        <v>8</v>
      </c>
      <c r="D202" s="4" t="s">
        <v>8</v>
      </c>
      <c r="E202" s="4" t="s">
        <v>16</v>
      </c>
    </row>
    <row r="203" customFormat="false" ht="15" hidden="false" customHeight="true" outlineLevel="0" collapsed="false">
      <c r="A203" s="4" t="s">
        <v>12</v>
      </c>
      <c r="B203" s="4" t="s">
        <v>10</v>
      </c>
      <c r="C203" s="4" t="s">
        <v>7</v>
      </c>
      <c r="D203" s="4" t="s">
        <v>7</v>
      </c>
      <c r="E203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0"/>
    <col collapsed="false" customWidth="true" hidden="false" outlineLevel="0" max="6" min="4" style="1" width="12"/>
    <col collapsed="false" customWidth="true" hidden="false" outlineLevel="0" max="7" min="7" style="1" width="8"/>
    <col collapsed="false" customWidth="true" hidden="false" outlineLevel="0" max="8" min="8" style="1" width="20"/>
  </cols>
  <sheetData>
    <row r="1" customFormat="false" ht="15.75" hidden="false" customHeight="true" outlineLevel="0" collapsed="false">
      <c r="A1" s="2" t="s">
        <v>17</v>
      </c>
    </row>
    <row r="2" customFormat="false" ht="15" hidden="false" customHeight="true" outlineLevel="0" collapsed="false">
      <c r="A2" s="5" t="s">
        <v>18</v>
      </c>
    </row>
    <row r="4" customFormat="false" ht="15" hidden="false" customHeight="true" outlineLevel="0" collapsed="false">
      <c r="A4" s="3" t="s">
        <v>19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20</v>
      </c>
      <c r="H4" s="3" t="s">
        <v>21</v>
      </c>
    </row>
    <row r="5" customFormat="false" ht="15" hidden="false" customHeight="true" outlineLevel="0" collapsed="false">
      <c r="A5" s="6" t="n">
        <v>1</v>
      </c>
      <c r="B5" s="6" t="s">
        <v>6</v>
      </c>
      <c r="C5" s="6" t="s">
        <v>7</v>
      </c>
      <c r="D5" s="6" t="s">
        <v>7</v>
      </c>
      <c r="E5" s="6" t="s">
        <v>8</v>
      </c>
      <c r="F5" s="6" t="s">
        <v>9</v>
      </c>
      <c r="G5" s="6" t="s">
        <v>22</v>
      </c>
      <c r="H5" s="6" t="n">
        <v>2</v>
      </c>
    </row>
    <row r="6" customFormat="false" ht="15" hidden="false" customHeight="true" outlineLevel="0" collapsed="false">
      <c r="A6" s="6" t="n">
        <v>2</v>
      </c>
      <c r="B6" s="6" t="s">
        <v>6</v>
      </c>
      <c r="C6" s="6" t="s">
        <v>7</v>
      </c>
      <c r="D6" s="6" t="s">
        <v>7</v>
      </c>
      <c r="E6" s="6" t="s">
        <v>10</v>
      </c>
      <c r="F6" s="6" t="s">
        <v>9</v>
      </c>
      <c r="G6" s="6" t="s">
        <v>22</v>
      </c>
      <c r="H6" s="6" t="n">
        <v>3</v>
      </c>
    </row>
    <row r="7" customFormat="false" ht="15" hidden="false" customHeight="true" outlineLevel="0" collapsed="false">
      <c r="A7" s="6" t="n">
        <v>3</v>
      </c>
      <c r="B7" s="6" t="s">
        <v>6</v>
      </c>
      <c r="C7" s="6" t="s">
        <v>7</v>
      </c>
      <c r="D7" s="6" t="s">
        <v>8</v>
      </c>
      <c r="E7" s="6" t="s">
        <v>10</v>
      </c>
      <c r="F7" s="6" t="s">
        <v>9</v>
      </c>
      <c r="G7" s="6" t="s">
        <v>22</v>
      </c>
      <c r="H7" s="6" t="n">
        <v>4</v>
      </c>
    </row>
    <row r="8" customFormat="false" ht="15" hidden="false" customHeight="true" outlineLevel="0" collapsed="false">
      <c r="A8" s="6" t="n">
        <v>4</v>
      </c>
      <c r="B8" s="6" t="s">
        <v>11</v>
      </c>
      <c r="C8" s="6" t="s">
        <v>7</v>
      </c>
      <c r="D8" s="6" t="s">
        <v>8</v>
      </c>
      <c r="E8" s="6" t="s">
        <v>8</v>
      </c>
      <c r="F8" s="6" t="s">
        <v>9</v>
      </c>
      <c r="G8" s="6" t="s">
        <v>22</v>
      </c>
      <c r="H8" s="6" t="n">
        <v>5</v>
      </c>
    </row>
    <row r="9" customFormat="false" ht="15" hidden="false" customHeight="true" outlineLevel="0" collapsed="false">
      <c r="A9" s="6" t="n">
        <v>5</v>
      </c>
      <c r="B9" s="6" t="s">
        <v>11</v>
      </c>
      <c r="C9" s="6" t="s">
        <v>7</v>
      </c>
      <c r="D9" s="6" t="s">
        <v>7</v>
      </c>
      <c r="E9" s="6" t="s">
        <v>8</v>
      </c>
      <c r="F9" s="6" t="s">
        <v>9</v>
      </c>
      <c r="G9" s="6" t="s">
        <v>22</v>
      </c>
      <c r="H9" s="6" t="n">
        <v>6</v>
      </c>
    </row>
    <row r="10" customFormat="false" ht="15" hidden="false" customHeight="true" outlineLevel="0" collapsed="false">
      <c r="A10" s="6" t="n">
        <v>6</v>
      </c>
      <c r="B10" s="6" t="s">
        <v>11</v>
      </c>
      <c r="C10" s="6" t="s">
        <v>7</v>
      </c>
      <c r="D10" s="6" t="s">
        <v>8</v>
      </c>
      <c r="E10" s="6" t="s">
        <v>8</v>
      </c>
      <c r="F10" s="6" t="s">
        <v>9</v>
      </c>
      <c r="G10" s="6" t="s">
        <v>22</v>
      </c>
      <c r="H10" s="6" t="n">
        <v>7</v>
      </c>
    </row>
    <row r="11" customFormat="false" ht="15" hidden="false" customHeight="true" outlineLevel="0" collapsed="false">
      <c r="A11" s="6" t="n">
        <v>7</v>
      </c>
      <c r="B11" s="6" t="s">
        <v>11</v>
      </c>
      <c r="C11" s="6" t="s">
        <v>7</v>
      </c>
      <c r="D11" s="6" t="s">
        <v>8</v>
      </c>
      <c r="E11" s="6" t="s">
        <v>10</v>
      </c>
      <c r="F11" s="6" t="s">
        <v>9</v>
      </c>
      <c r="G11" s="6" t="s">
        <v>22</v>
      </c>
      <c r="H11" s="6" t="n">
        <v>9</v>
      </c>
    </row>
    <row r="12" customFormat="false" ht="15" hidden="false" customHeight="true" outlineLevel="0" collapsed="false">
      <c r="A12" s="6" t="n">
        <v>8</v>
      </c>
      <c r="B12" s="6" t="s">
        <v>11</v>
      </c>
      <c r="C12" s="6" t="s">
        <v>7</v>
      </c>
      <c r="D12" s="6" t="s">
        <v>8</v>
      </c>
      <c r="E12" s="6" t="s">
        <v>8</v>
      </c>
      <c r="F12" s="6" t="s">
        <v>9</v>
      </c>
      <c r="G12" s="6" t="s">
        <v>22</v>
      </c>
      <c r="H12" s="6" t="n">
        <v>10</v>
      </c>
    </row>
    <row r="13" customFormat="false" ht="15" hidden="false" customHeight="true" outlineLevel="0" collapsed="false">
      <c r="A13" s="6" t="n">
        <v>9</v>
      </c>
      <c r="B13" s="6" t="s">
        <v>11</v>
      </c>
      <c r="C13" s="6" t="s">
        <v>7</v>
      </c>
      <c r="D13" s="6" t="s">
        <v>7</v>
      </c>
      <c r="E13" s="6" t="s">
        <v>8</v>
      </c>
      <c r="F13" s="6" t="s">
        <v>9</v>
      </c>
      <c r="G13" s="6" t="s">
        <v>22</v>
      </c>
      <c r="H13" s="6" t="n">
        <v>13</v>
      </c>
    </row>
    <row r="14" customFormat="false" ht="15" hidden="false" customHeight="true" outlineLevel="0" collapsed="false">
      <c r="A14" s="6" t="n">
        <v>10</v>
      </c>
      <c r="B14" s="6" t="s">
        <v>11</v>
      </c>
      <c r="C14" s="6" t="s">
        <v>7</v>
      </c>
      <c r="D14" s="6" t="s">
        <v>8</v>
      </c>
      <c r="E14" s="6" t="s">
        <v>8</v>
      </c>
      <c r="F14" s="6" t="s">
        <v>9</v>
      </c>
      <c r="G14" s="6" t="s">
        <v>22</v>
      </c>
      <c r="H14" s="6" t="n">
        <v>14</v>
      </c>
    </row>
    <row r="15" customFormat="false" ht="15" hidden="false" customHeight="true" outlineLevel="0" collapsed="false">
      <c r="A15" s="6" t="n">
        <v>11</v>
      </c>
      <c r="B15" s="6" t="s">
        <v>11</v>
      </c>
      <c r="C15" s="6" t="s">
        <v>7</v>
      </c>
      <c r="D15" s="6" t="s">
        <v>7</v>
      </c>
      <c r="E15" s="6" t="s">
        <v>10</v>
      </c>
      <c r="F15" s="6" t="s">
        <v>9</v>
      </c>
      <c r="G15" s="6" t="s">
        <v>22</v>
      </c>
      <c r="H15" s="6" t="n">
        <v>15</v>
      </c>
    </row>
    <row r="16" customFormat="false" ht="15" hidden="false" customHeight="true" outlineLevel="0" collapsed="false">
      <c r="A16" s="6" t="n">
        <v>12</v>
      </c>
      <c r="B16" s="6" t="s">
        <v>11</v>
      </c>
      <c r="C16" s="6" t="s">
        <v>7</v>
      </c>
      <c r="D16" s="6" t="s">
        <v>8</v>
      </c>
      <c r="E16" s="6" t="s">
        <v>8</v>
      </c>
      <c r="F16" s="6" t="s">
        <v>9</v>
      </c>
      <c r="G16" s="6" t="s">
        <v>22</v>
      </c>
      <c r="H16" s="6" t="n">
        <v>16</v>
      </c>
    </row>
    <row r="17" customFormat="false" ht="15" hidden="false" customHeight="true" outlineLevel="0" collapsed="false">
      <c r="A17" s="6" t="n">
        <v>13</v>
      </c>
      <c r="B17" s="6" t="s">
        <v>11</v>
      </c>
      <c r="C17" s="6" t="s">
        <v>7</v>
      </c>
      <c r="D17" s="6" t="s">
        <v>7</v>
      </c>
      <c r="E17" s="6" t="s">
        <v>8</v>
      </c>
      <c r="F17" s="6" t="s">
        <v>9</v>
      </c>
      <c r="G17" s="6" t="s">
        <v>22</v>
      </c>
      <c r="H17" s="6" t="n">
        <v>17</v>
      </c>
    </row>
    <row r="18" customFormat="false" ht="15" hidden="false" customHeight="true" outlineLevel="0" collapsed="false">
      <c r="A18" s="6" t="n">
        <v>14</v>
      </c>
      <c r="B18" s="6" t="s">
        <v>12</v>
      </c>
      <c r="C18" s="6" t="s">
        <v>7</v>
      </c>
      <c r="D18" s="6" t="s">
        <v>7</v>
      </c>
      <c r="E18" s="6" t="s">
        <v>8</v>
      </c>
      <c r="F18" s="6" t="s">
        <v>9</v>
      </c>
      <c r="G18" s="6" t="s">
        <v>22</v>
      </c>
      <c r="H18" s="6" t="n">
        <v>18</v>
      </c>
    </row>
    <row r="19" customFormat="false" ht="15" hidden="false" customHeight="true" outlineLevel="0" collapsed="false">
      <c r="A19" s="6" t="n">
        <v>15</v>
      </c>
      <c r="B19" s="6" t="s">
        <v>12</v>
      </c>
      <c r="C19" s="6" t="s">
        <v>7</v>
      </c>
      <c r="D19" s="6" t="s">
        <v>8</v>
      </c>
      <c r="E19" s="6" t="s">
        <v>8</v>
      </c>
      <c r="F19" s="6" t="s">
        <v>9</v>
      </c>
      <c r="G19" s="6" t="s">
        <v>22</v>
      </c>
      <c r="H19" s="6" t="n">
        <v>20</v>
      </c>
    </row>
    <row r="20" customFormat="false" ht="15" hidden="false" customHeight="true" outlineLevel="0" collapsed="false">
      <c r="A20" s="6" t="n">
        <v>16</v>
      </c>
      <c r="B20" s="6" t="s">
        <v>12</v>
      </c>
      <c r="C20" s="6" t="s">
        <v>7</v>
      </c>
      <c r="D20" s="6" t="s">
        <v>8</v>
      </c>
      <c r="E20" s="6" t="s">
        <v>10</v>
      </c>
      <c r="F20" s="6" t="s">
        <v>9</v>
      </c>
      <c r="G20" s="6" t="s">
        <v>22</v>
      </c>
      <c r="H20" s="6" t="n">
        <v>21</v>
      </c>
    </row>
    <row r="21" customFormat="false" ht="15" hidden="false" customHeight="true" outlineLevel="0" collapsed="false">
      <c r="A21" s="6" t="n">
        <v>17</v>
      </c>
      <c r="B21" s="6" t="s">
        <v>12</v>
      </c>
      <c r="C21" s="6" t="s">
        <v>7</v>
      </c>
      <c r="D21" s="6" t="s">
        <v>8</v>
      </c>
      <c r="E21" s="6" t="s">
        <v>7</v>
      </c>
      <c r="F21" s="6" t="s">
        <v>9</v>
      </c>
      <c r="G21" s="6" t="s">
        <v>22</v>
      </c>
      <c r="H21" s="6" t="n">
        <v>22</v>
      </c>
    </row>
    <row r="22" customFormat="false" ht="15" hidden="false" customHeight="true" outlineLevel="0" collapsed="false">
      <c r="A22" s="6" t="n">
        <v>18</v>
      </c>
      <c r="B22" s="6" t="s">
        <v>12</v>
      </c>
      <c r="C22" s="6" t="s">
        <v>7</v>
      </c>
      <c r="D22" s="6" t="s">
        <v>7</v>
      </c>
      <c r="E22" s="6" t="s">
        <v>7</v>
      </c>
      <c r="F22" s="6" t="s">
        <v>9</v>
      </c>
      <c r="G22" s="6" t="s">
        <v>22</v>
      </c>
      <c r="H22" s="6" t="n">
        <v>23</v>
      </c>
    </row>
    <row r="23" customFormat="false" ht="15" hidden="false" customHeight="true" outlineLevel="0" collapsed="false">
      <c r="A23" s="6" t="n">
        <v>19</v>
      </c>
      <c r="B23" s="6" t="s">
        <v>12</v>
      </c>
      <c r="C23" s="6" t="s">
        <v>7</v>
      </c>
      <c r="D23" s="6" t="s">
        <v>8</v>
      </c>
      <c r="E23" s="6" t="s">
        <v>8</v>
      </c>
      <c r="F23" s="6" t="s">
        <v>13</v>
      </c>
      <c r="G23" s="6" t="s">
        <v>22</v>
      </c>
      <c r="H23" s="6" t="n">
        <v>24</v>
      </c>
    </row>
    <row r="24" customFormat="false" ht="15" hidden="false" customHeight="true" outlineLevel="0" collapsed="false">
      <c r="A24" s="6" t="n">
        <v>20</v>
      </c>
      <c r="B24" s="6" t="s">
        <v>12</v>
      </c>
      <c r="C24" s="6" t="s">
        <v>7</v>
      </c>
      <c r="D24" s="6" t="s">
        <v>8</v>
      </c>
      <c r="E24" s="6" t="s">
        <v>8</v>
      </c>
      <c r="F24" s="6" t="s">
        <v>13</v>
      </c>
      <c r="G24" s="6" t="s">
        <v>22</v>
      </c>
      <c r="H24" s="6" t="n">
        <v>25</v>
      </c>
    </row>
    <row r="25" customFormat="false" ht="15" hidden="false" customHeight="true" outlineLevel="0" collapsed="false">
      <c r="A25" s="6" t="n">
        <v>21</v>
      </c>
      <c r="B25" s="6" t="s">
        <v>12</v>
      </c>
      <c r="C25" s="6" t="s">
        <v>7</v>
      </c>
      <c r="D25" s="6" t="s">
        <v>7</v>
      </c>
      <c r="E25" s="6" t="s">
        <v>8</v>
      </c>
      <c r="F25" s="6" t="s">
        <v>13</v>
      </c>
      <c r="G25" s="6" t="s">
        <v>22</v>
      </c>
      <c r="H25" s="6" t="n">
        <v>26</v>
      </c>
    </row>
    <row r="26" customFormat="false" ht="15" hidden="false" customHeight="true" outlineLevel="0" collapsed="false">
      <c r="A26" s="6" t="n">
        <v>22</v>
      </c>
      <c r="B26" s="6" t="s">
        <v>12</v>
      </c>
      <c r="C26" s="6" t="s">
        <v>7</v>
      </c>
      <c r="D26" s="6" t="s">
        <v>8</v>
      </c>
      <c r="E26" s="6" t="s">
        <v>10</v>
      </c>
      <c r="F26" s="6" t="s">
        <v>13</v>
      </c>
      <c r="G26" s="6" t="s">
        <v>22</v>
      </c>
      <c r="H26" s="6" t="n">
        <v>27</v>
      </c>
    </row>
    <row r="27" customFormat="false" ht="15" hidden="false" customHeight="true" outlineLevel="0" collapsed="false">
      <c r="A27" s="6" t="n">
        <v>23</v>
      </c>
      <c r="B27" s="6" t="s">
        <v>12</v>
      </c>
      <c r="C27" s="6" t="s">
        <v>7</v>
      </c>
      <c r="D27" s="6" t="s">
        <v>8</v>
      </c>
      <c r="E27" s="6" t="s">
        <v>8</v>
      </c>
      <c r="F27" s="6" t="s">
        <v>13</v>
      </c>
      <c r="G27" s="6" t="s">
        <v>22</v>
      </c>
      <c r="H27" s="6" t="n">
        <v>28</v>
      </c>
    </row>
    <row r="28" customFormat="false" ht="15" hidden="false" customHeight="true" outlineLevel="0" collapsed="false">
      <c r="A28" s="6" t="n">
        <v>24</v>
      </c>
      <c r="B28" s="6" t="s">
        <v>12</v>
      </c>
      <c r="C28" s="6" t="s">
        <v>7</v>
      </c>
      <c r="D28" s="6" t="s">
        <v>7</v>
      </c>
      <c r="E28" s="6" t="s">
        <v>8</v>
      </c>
      <c r="F28" s="6" t="s">
        <v>13</v>
      </c>
      <c r="G28" s="6" t="s">
        <v>22</v>
      </c>
      <c r="H28" s="6" t="n">
        <v>29</v>
      </c>
    </row>
    <row r="29" customFormat="false" ht="15" hidden="false" customHeight="true" outlineLevel="0" collapsed="false">
      <c r="A29" s="6" t="n">
        <v>25</v>
      </c>
      <c r="B29" s="6" t="s">
        <v>12</v>
      </c>
      <c r="C29" s="6" t="s">
        <v>7</v>
      </c>
      <c r="D29" s="6" t="s">
        <v>7</v>
      </c>
      <c r="E29" s="6" t="s">
        <v>8</v>
      </c>
      <c r="F29" s="6" t="s">
        <v>13</v>
      </c>
      <c r="G29" s="6" t="s">
        <v>22</v>
      </c>
      <c r="H29" s="6" t="n">
        <v>31</v>
      </c>
    </row>
    <row r="30" customFormat="false" ht="15" hidden="false" customHeight="true" outlineLevel="0" collapsed="false">
      <c r="A30" s="6" t="n">
        <v>26</v>
      </c>
      <c r="B30" s="6" t="s">
        <v>12</v>
      </c>
      <c r="C30" s="6" t="s">
        <v>7</v>
      </c>
      <c r="D30" s="6" t="s">
        <v>7</v>
      </c>
      <c r="E30" s="6" t="s">
        <v>8</v>
      </c>
      <c r="F30" s="6" t="s">
        <v>13</v>
      </c>
      <c r="G30" s="6" t="s">
        <v>22</v>
      </c>
      <c r="H30" s="6" t="n">
        <v>32</v>
      </c>
    </row>
    <row r="31" customFormat="false" ht="15" hidden="false" customHeight="true" outlineLevel="0" collapsed="false">
      <c r="A31" s="6" t="n">
        <v>27</v>
      </c>
      <c r="B31" s="6" t="s">
        <v>12</v>
      </c>
      <c r="C31" s="6" t="s">
        <v>7</v>
      </c>
      <c r="D31" s="6" t="s">
        <v>8</v>
      </c>
      <c r="E31" s="6" t="s">
        <v>7</v>
      </c>
      <c r="F31" s="6" t="s">
        <v>13</v>
      </c>
      <c r="G31" s="6" t="s">
        <v>22</v>
      </c>
      <c r="H31" s="6" t="n">
        <v>33</v>
      </c>
    </row>
    <row r="32" customFormat="false" ht="15" hidden="false" customHeight="true" outlineLevel="0" collapsed="false">
      <c r="A32" s="6" t="n">
        <v>28</v>
      </c>
      <c r="B32" s="6" t="s">
        <v>12</v>
      </c>
      <c r="C32" s="6" t="s">
        <v>7</v>
      </c>
      <c r="D32" s="6" t="s">
        <v>8</v>
      </c>
      <c r="E32" s="6" t="s">
        <v>8</v>
      </c>
      <c r="F32" s="6" t="s">
        <v>13</v>
      </c>
      <c r="G32" s="6" t="s">
        <v>22</v>
      </c>
      <c r="H32" s="6" t="n">
        <v>34</v>
      </c>
    </row>
    <row r="33" customFormat="false" ht="15" hidden="false" customHeight="true" outlineLevel="0" collapsed="false">
      <c r="A33" s="6" t="n">
        <v>29</v>
      </c>
      <c r="B33" s="6" t="s">
        <v>12</v>
      </c>
      <c r="C33" s="6" t="s">
        <v>7</v>
      </c>
      <c r="D33" s="6" t="s">
        <v>7</v>
      </c>
      <c r="E33" s="6" t="s">
        <v>8</v>
      </c>
      <c r="F33" s="6" t="s">
        <v>13</v>
      </c>
      <c r="G33" s="6" t="s">
        <v>22</v>
      </c>
      <c r="H33" s="6" t="n">
        <v>35</v>
      </c>
    </row>
    <row r="34" customFormat="false" ht="15" hidden="false" customHeight="true" outlineLevel="0" collapsed="false">
      <c r="A34" s="6" t="n">
        <v>30</v>
      </c>
      <c r="B34" s="6" t="s">
        <v>12</v>
      </c>
      <c r="C34" s="6" t="s">
        <v>7</v>
      </c>
      <c r="D34" s="6" t="s">
        <v>7</v>
      </c>
      <c r="E34" s="6" t="s">
        <v>10</v>
      </c>
      <c r="F34" s="6" t="s">
        <v>13</v>
      </c>
      <c r="G34" s="6" t="s">
        <v>22</v>
      </c>
      <c r="H34" s="6" t="n">
        <v>36</v>
      </c>
    </row>
    <row r="35" customFormat="false" ht="15" hidden="false" customHeight="true" outlineLevel="0" collapsed="false">
      <c r="A35" s="6" t="n">
        <v>31</v>
      </c>
      <c r="B35" s="6" t="s">
        <v>12</v>
      </c>
      <c r="C35" s="6" t="s">
        <v>7</v>
      </c>
      <c r="D35" s="6" t="s">
        <v>8</v>
      </c>
      <c r="E35" s="6" t="s">
        <v>10</v>
      </c>
      <c r="F35" s="6" t="s">
        <v>13</v>
      </c>
      <c r="G35" s="6" t="s">
        <v>22</v>
      </c>
      <c r="H35" s="6" t="n">
        <v>38</v>
      </c>
    </row>
    <row r="36" customFormat="false" ht="15" hidden="false" customHeight="true" outlineLevel="0" collapsed="false">
      <c r="A36" s="6" t="n">
        <v>32</v>
      </c>
      <c r="B36" s="6" t="s">
        <v>6</v>
      </c>
      <c r="C36" s="6" t="s">
        <v>10</v>
      </c>
      <c r="D36" s="6" t="s">
        <v>7</v>
      </c>
      <c r="E36" s="6" t="s">
        <v>10</v>
      </c>
      <c r="F36" s="6" t="s">
        <v>14</v>
      </c>
      <c r="G36" s="6" t="s">
        <v>22</v>
      </c>
      <c r="H36" s="6" t="n">
        <v>41</v>
      </c>
    </row>
    <row r="37" customFormat="false" ht="15" hidden="false" customHeight="true" outlineLevel="0" collapsed="false">
      <c r="A37" s="6" t="n">
        <v>33</v>
      </c>
      <c r="B37" s="6" t="s">
        <v>11</v>
      </c>
      <c r="C37" s="6" t="s">
        <v>10</v>
      </c>
      <c r="D37" s="6" t="s">
        <v>7</v>
      </c>
      <c r="E37" s="6" t="s">
        <v>7</v>
      </c>
      <c r="F37" s="6" t="s">
        <v>14</v>
      </c>
      <c r="G37" s="6" t="s">
        <v>22</v>
      </c>
      <c r="H37" s="6" t="n">
        <v>43</v>
      </c>
    </row>
    <row r="38" customFormat="false" ht="15" hidden="false" customHeight="true" outlineLevel="0" collapsed="false">
      <c r="A38" s="6" t="n">
        <v>34</v>
      </c>
      <c r="B38" s="6" t="s">
        <v>11</v>
      </c>
      <c r="C38" s="6" t="s">
        <v>10</v>
      </c>
      <c r="D38" s="6" t="s">
        <v>7</v>
      </c>
      <c r="E38" s="6" t="s">
        <v>10</v>
      </c>
      <c r="F38" s="6" t="s">
        <v>14</v>
      </c>
      <c r="G38" s="6" t="s">
        <v>22</v>
      </c>
      <c r="H38" s="6" t="n">
        <v>45</v>
      </c>
    </row>
    <row r="39" customFormat="false" ht="15" hidden="false" customHeight="true" outlineLevel="0" collapsed="false">
      <c r="A39" s="6" t="n">
        <v>35</v>
      </c>
      <c r="B39" s="6" t="s">
        <v>11</v>
      </c>
      <c r="C39" s="6" t="s">
        <v>10</v>
      </c>
      <c r="D39" s="6" t="s">
        <v>7</v>
      </c>
      <c r="E39" s="6" t="s">
        <v>8</v>
      </c>
      <c r="F39" s="6" t="s">
        <v>14</v>
      </c>
      <c r="G39" s="6" t="s">
        <v>22</v>
      </c>
      <c r="H39" s="6" t="n">
        <v>46</v>
      </c>
    </row>
    <row r="40" customFormat="false" ht="15" hidden="false" customHeight="true" outlineLevel="0" collapsed="false">
      <c r="A40" s="6" t="n">
        <v>36</v>
      </c>
      <c r="B40" s="6" t="s">
        <v>12</v>
      </c>
      <c r="C40" s="6" t="s">
        <v>10</v>
      </c>
      <c r="D40" s="6" t="s">
        <v>7</v>
      </c>
      <c r="E40" s="6" t="s">
        <v>8</v>
      </c>
      <c r="F40" s="6" t="s">
        <v>14</v>
      </c>
      <c r="G40" s="6" t="s">
        <v>22</v>
      </c>
      <c r="H40" s="6" t="n">
        <v>47</v>
      </c>
    </row>
    <row r="41" customFormat="false" ht="15" hidden="false" customHeight="true" outlineLevel="0" collapsed="false">
      <c r="A41" s="6" t="n">
        <v>37</v>
      </c>
      <c r="B41" s="6" t="s">
        <v>12</v>
      </c>
      <c r="C41" s="6" t="s">
        <v>10</v>
      </c>
      <c r="D41" s="6" t="s">
        <v>7</v>
      </c>
      <c r="E41" s="6" t="s">
        <v>8</v>
      </c>
      <c r="F41" s="6" t="s">
        <v>14</v>
      </c>
      <c r="G41" s="6" t="s">
        <v>22</v>
      </c>
      <c r="H41" s="6" t="n">
        <v>48</v>
      </c>
    </row>
    <row r="42" customFormat="false" ht="15" hidden="false" customHeight="true" outlineLevel="0" collapsed="false">
      <c r="A42" s="6" t="n">
        <v>38</v>
      </c>
      <c r="B42" s="6" t="s">
        <v>12</v>
      </c>
      <c r="C42" s="6" t="s">
        <v>10</v>
      </c>
      <c r="D42" s="6" t="s">
        <v>7</v>
      </c>
      <c r="E42" s="6" t="s">
        <v>8</v>
      </c>
      <c r="F42" s="6" t="s">
        <v>14</v>
      </c>
      <c r="G42" s="6" t="s">
        <v>22</v>
      </c>
      <c r="H42" s="6" t="n">
        <v>49</v>
      </c>
    </row>
    <row r="43" customFormat="false" ht="15" hidden="false" customHeight="true" outlineLevel="0" collapsed="false">
      <c r="A43" s="6" t="n">
        <v>39</v>
      </c>
      <c r="B43" s="6" t="s">
        <v>12</v>
      </c>
      <c r="C43" s="6" t="s">
        <v>10</v>
      </c>
      <c r="D43" s="6" t="s">
        <v>7</v>
      </c>
      <c r="E43" s="6" t="s">
        <v>8</v>
      </c>
      <c r="F43" s="6" t="s">
        <v>14</v>
      </c>
      <c r="G43" s="6" t="s">
        <v>22</v>
      </c>
      <c r="H43" s="6" t="n">
        <v>50</v>
      </c>
    </row>
    <row r="44" customFormat="false" ht="15" hidden="false" customHeight="true" outlineLevel="0" collapsed="false">
      <c r="A44" s="6" t="n">
        <v>40</v>
      </c>
      <c r="B44" s="6" t="s">
        <v>12</v>
      </c>
      <c r="C44" s="6" t="s">
        <v>10</v>
      </c>
      <c r="D44" s="6" t="s">
        <v>7</v>
      </c>
      <c r="E44" s="6" t="s">
        <v>8</v>
      </c>
      <c r="F44" s="6" t="s">
        <v>14</v>
      </c>
      <c r="G44" s="6" t="s">
        <v>22</v>
      </c>
      <c r="H44" s="6" t="n">
        <v>51</v>
      </c>
    </row>
    <row r="45" customFormat="false" ht="15" hidden="false" customHeight="true" outlineLevel="0" collapsed="false">
      <c r="A45" s="6" t="n">
        <v>41</v>
      </c>
      <c r="B45" s="6" t="s">
        <v>12</v>
      </c>
      <c r="C45" s="6" t="s">
        <v>10</v>
      </c>
      <c r="D45" s="6" t="s">
        <v>7</v>
      </c>
      <c r="E45" s="6" t="s">
        <v>8</v>
      </c>
      <c r="F45" s="6" t="s">
        <v>14</v>
      </c>
      <c r="G45" s="6" t="s">
        <v>22</v>
      </c>
      <c r="H45" s="6" t="n">
        <v>52</v>
      </c>
    </row>
    <row r="46" customFormat="false" ht="15" hidden="false" customHeight="true" outlineLevel="0" collapsed="false">
      <c r="A46" s="6" t="n">
        <v>42</v>
      </c>
      <c r="B46" s="6" t="s">
        <v>12</v>
      </c>
      <c r="C46" s="6" t="s">
        <v>10</v>
      </c>
      <c r="D46" s="6" t="s">
        <v>7</v>
      </c>
      <c r="E46" s="6" t="s">
        <v>8</v>
      </c>
      <c r="F46" s="6" t="s">
        <v>14</v>
      </c>
      <c r="G46" s="6" t="s">
        <v>22</v>
      </c>
      <c r="H46" s="6" t="n">
        <v>53</v>
      </c>
    </row>
    <row r="47" customFormat="false" ht="15" hidden="false" customHeight="true" outlineLevel="0" collapsed="false">
      <c r="A47" s="6" t="n">
        <v>43</v>
      </c>
      <c r="B47" s="6" t="s">
        <v>12</v>
      </c>
      <c r="C47" s="6" t="s">
        <v>10</v>
      </c>
      <c r="D47" s="6" t="s">
        <v>7</v>
      </c>
      <c r="E47" s="6" t="s">
        <v>8</v>
      </c>
      <c r="F47" s="6" t="s">
        <v>14</v>
      </c>
      <c r="G47" s="6" t="s">
        <v>22</v>
      </c>
      <c r="H47" s="6" t="n">
        <v>54</v>
      </c>
    </row>
    <row r="48" customFormat="false" ht="15" hidden="false" customHeight="true" outlineLevel="0" collapsed="false">
      <c r="A48" s="6" t="n">
        <v>44</v>
      </c>
      <c r="B48" s="6" t="s">
        <v>12</v>
      </c>
      <c r="C48" s="6" t="s">
        <v>10</v>
      </c>
      <c r="D48" s="6" t="s">
        <v>7</v>
      </c>
      <c r="E48" s="6" t="s">
        <v>10</v>
      </c>
      <c r="F48" s="6" t="s">
        <v>14</v>
      </c>
      <c r="G48" s="6" t="s">
        <v>22</v>
      </c>
      <c r="H48" s="6" t="n">
        <v>55</v>
      </c>
    </row>
    <row r="49" customFormat="false" ht="15" hidden="false" customHeight="true" outlineLevel="0" collapsed="false">
      <c r="A49" s="6" t="n">
        <v>45</v>
      </c>
      <c r="B49" s="6" t="s">
        <v>6</v>
      </c>
      <c r="C49" s="6" t="s">
        <v>8</v>
      </c>
      <c r="D49" s="6" t="s">
        <v>7</v>
      </c>
      <c r="E49" s="6" t="s">
        <v>10</v>
      </c>
      <c r="F49" s="6" t="s">
        <v>15</v>
      </c>
      <c r="G49" s="6" t="s">
        <v>22</v>
      </c>
      <c r="H49" s="6" t="n">
        <v>56</v>
      </c>
    </row>
    <row r="50" customFormat="false" ht="15" hidden="false" customHeight="true" outlineLevel="0" collapsed="false">
      <c r="A50" s="6" t="n">
        <v>46</v>
      </c>
      <c r="B50" s="6" t="s">
        <v>6</v>
      </c>
      <c r="C50" s="6" t="s">
        <v>8</v>
      </c>
      <c r="D50" s="6" t="s">
        <v>8</v>
      </c>
      <c r="E50" s="6" t="s">
        <v>8</v>
      </c>
      <c r="F50" s="6" t="s">
        <v>15</v>
      </c>
      <c r="G50" s="6" t="s">
        <v>22</v>
      </c>
      <c r="H50" s="6" t="n">
        <v>57</v>
      </c>
    </row>
    <row r="51" customFormat="false" ht="15" hidden="false" customHeight="true" outlineLevel="0" collapsed="false">
      <c r="A51" s="6" t="n">
        <v>47</v>
      </c>
      <c r="B51" s="6" t="s">
        <v>6</v>
      </c>
      <c r="C51" s="6" t="s">
        <v>8</v>
      </c>
      <c r="D51" s="6" t="s">
        <v>8</v>
      </c>
      <c r="E51" s="6" t="s">
        <v>7</v>
      </c>
      <c r="F51" s="6" t="s">
        <v>15</v>
      </c>
      <c r="G51" s="6" t="s">
        <v>22</v>
      </c>
      <c r="H51" s="6" t="n">
        <v>58</v>
      </c>
    </row>
    <row r="52" customFormat="false" ht="15" hidden="false" customHeight="true" outlineLevel="0" collapsed="false">
      <c r="A52" s="6" t="n">
        <v>48</v>
      </c>
      <c r="B52" s="6" t="s">
        <v>6</v>
      </c>
      <c r="C52" s="6" t="s">
        <v>8</v>
      </c>
      <c r="D52" s="6" t="s">
        <v>8</v>
      </c>
      <c r="E52" s="6" t="s">
        <v>10</v>
      </c>
      <c r="F52" s="6" t="s">
        <v>15</v>
      </c>
      <c r="G52" s="6" t="s">
        <v>22</v>
      </c>
      <c r="H52" s="6" t="n">
        <v>59</v>
      </c>
    </row>
    <row r="53" customFormat="false" ht="15" hidden="false" customHeight="true" outlineLevel="0" collapsed="false">
      <c r="A53" s="6" t="n">
        <v>49</v>
      </c>
      <c r="B53" s="6" t="s">
        <v>6</v>
      </c>
      <c r="C53" s="6" t="s">
        <v>10</v>
      </c>
      <c r="D53" s="6" t="s">
        <v>8</v>
      </c>
      <c r="E53" s="6" t="s">
        <v>8</v>
      </c>
      <c r="F53" s="6" t="s">
        <v>15</v>
      </c>
      <c r="G53" s="6" t="s">
        <v>22</v>
      </c>
      <c r="H53" s="6" t="n">
        <v>60</v>
      </c>
    </row>
    <row r="54" customFormat="false" ht="15" hidden="false" customHeight="true" outlineLevel="0" collapsed="false">
      <c r="A54" s="6" t="n">
        <v>50</v>
      </c>
      <c r="B54" s="6" t="s">
        <v>6</v>
      </c>
      <c r="C54" s="6" t="s">
        <v>8</v>
      </c>
      <c r="D54" s="6" t="s">
        <v>7</v>
      </c>
      <c r="E54" s="6" t="s">
        <v>10</v>
      </c>
      <c r="F54" s="6" t="s">
        <v>15</v>
      </c>
      <c r="G54" s="6" t="s">
        <v>22</v>
      </c>
      <c r="H54" s="6" t="n">
        <v>61</v>
      </c>
    </row>
    <row r="55" customFormat="false" ht="15" hidden="false" customHeight="true" outlineLevel="0" collapsed="false">
      <c r="A55" s="6" t="n">
        <v>51</v>
      </c>
      <c r="B55" s="6" t="s">
        <v>6</v>
      </c>
      <c r="C55" s="6" t="s">
        <v>8</v>
      </c>
      <c r="D55" s="6" t="s">
        <v>7</v>
      </c>
      <c r="E55" s="6" t="s">
        <v>7</v>
      </c>
      <c r="F55" s="6" t="s">
        <v>15</v>
      </c>
      <c r="G55" s="6" t="s">
        <v>22</v>
      </c>
      <c r="H55" s="6" t="n">
        <v>63</v>
      </c>
    </row>
    <row r="56" customFormat="false" ht="15" hidden="false" customHeight="true" outlineLevel="0" collapsed="false">
      <c r="A56" s="6" t="n">
        <v>52</v>
      </c>
      <c r="B56" s="6" t="s">
        <v>6</v>
      </c>
      <c r="C56" s="6" t="s">
        <v>8</v>
      </c>
      <c r="D56" s="6" t="s">
        <v>8</v>
      </c>
      <c r="E56" s="6" t="s">
        <v>7</v>
      </c>
      <c r="F56" s="6" t="s">
        <v>15</v>
      </c>
      <c r="G56" s="6" t="s">
        <v>22</v>
      </c>
      <c r="H56" s="6" t="n">
        <v>64</v>
      </c>
    </row>
    <row r="57" customFormat="false" ht="15" hidden="false" customHeight="true" outlineLevel="0" collapsed="false">
      <c r="A57" s="6" t="n">
        <v>53</v>
      </c>
      <c r="B57" s="6" t="s">
        <v>6</v>
      </c>
      <c r="C57" s="6" t="s">
        <v>8</v>
      </c>
      <c r="D57" s="6" t="s">
        <v>7</v>
      </c>
      <c r="E57" s="6" t="s">
        <v>8</v>
      </c>
      <c r="F57" s="6" t="s">
        <v>15</v>
      </c>
      <c r="G57" s="6" t="s">
        <v>22</v>
      </c>
      <c r="H57" s="6" t="n">
        <v>65</v>
      </c>
    </row>
    <row r="58" customFormat="false" ht="15" hidden="false" customHeight="true" outlineLevel="0" collapsed="false">
      <c r="A58" s="6" t="n">
        <v>54</v>
      </c>
      <c r="B58" s="6" t="s">
        <v>11</v>
      </c>
      <c r="C58" s="6" t="s">
        <v>8</v>
      </c>
      <c r="D58" s="6" t="s">
        <v>7</v>
      </c>
      <c r="E58" s="6" t="s">
        <v>10</v>
      </c>
      <c r="F58" s="6" t="s">
        <v>15</v>
      </c>
      <c r="G58" s="6" t="s">
        <v>22</v>
      </c>
      <c r="H58" s="6" t="n">
        <v>66</v>
      </c>
    </row>
    <row r="59" customFormat="false" ht="15" hidden="false" customHeight="true" outlineLevel="0" collapsed="false">
      <c r="A59" s="6" t="n">
        <v>55</v>
      </c>
      <c r="B59" s="6" t="s">
        <v>11</v>
      </c>
      <c r="C59" s="6" t="s">
        <v>8</v>
      </c>
      <c r="D59" s="6" t="s">
        <v>7</v>
      </c>
      <c r="E59" s="6" t="s">
        <v>8</v>
      </c>
      <c r="F59" s="6" t="s">
        <v>15</v>
      </c>
      <c r="G59" s="6" t="s">
        <v>22</v>
      </c>
      <c r="H59" s="6" t="n">
        <v>67</v>
      </c>
    </row>
    <row r="60" customFormat="false" ht="15" hidden="false" customHeight="true" outlineLevel="0" collapsed="false">
      <c r="A60" s="6" t="n">
        <v>56</v>
      </c>
      <c r="B60" s="6" t="s">
        <v>11</v>
      </c>
      <c r="C60" s="6" t="s">
        <v>8</v>
      </c>
      <c r="D60" s="6" t="s">
        <v>7</v>
      </c>
      <c r="E60" s="6" t="s">
        <v>10</v>
      </c>
      <c r="F60" s="6" t="s">
        <v>15</v>
      </c>
      <c r="G60" s="6" t="s">
        <v>22</v>
      </c>
      <c r="H60" s="6" t="n">
        <v>69</v>
      </c>
    </row>
    <row r="61" customFormat="false" ht="15" hidden="false" customHeight="true" outlineLevel="0" collapsed="false">
      <c r="A61" s="6" t="n">
        <v>57</v>
      </c>
      <c r="B61" s="6" t="s">
        <v>11</v>
      </c>
      <c r="C61" s="6" t="s">
        <v>10</v>
      </c>
      <c r="D61" s="6" t="s">
        <v>8</v>
      </c>
      <c r="E61" s="6" t="s">
        <v>8</v>
      </c>
      <c r="F61" s="6" t="s">
        <v>15</v>
      </c>
      <c r="G61" s="6" t="s">
        <v>22</v>
      </c>
      <c r="H61" s="6" t="n">
        <v>71</v>
      </c>
    </row>
    <row r="62" customFormat="false" ht="15" hidden="false" customHeight="true" outlineLevel="0" collapsed="false">
      <c r="A62" s="6" t="n">
        <v>58</v>
      </c>
      <c r="B62" s="6" t="s">
        <v>11</v>
      </c>
      <c r="C62" s="6" t="s">
        <v>8</v>
      </c>
      <c r="D62" s="6" t="s">
        <v>8</v>
      </c>
      <c r="E62" s="6" t="s">
        <v>10</v>
      </c>
      <c r="F62" s="6" t="s">
        <v>15</v>
      </c>
      <c r="G62" s="6" t="s">
        <v>22</v>
      </c>
      <c r="H62" s="6" t="n">
        <v>72</v>
      </c>
    </row>
    <row r="63" customFormat="false" ht="15" hidden="false" customHeight="true" outlineLevel="0" collapsed="false">
      <c r="A63" s="6" t="n">
        <v>59</v>
      </c>
      <c r="B63" s="6" t="s">
        <v>11</v>
      </c>
      <c r="C63" s="6" t="s">
        <v>10</v>
      </c>
      <c r="D63" s="6" t="s">
        <v>8</v>
      </c>
      <c r="E63" s="6" t="s">
        <v>7</v>
      </c>
      <c r="F63" s="6" t="s">
        <v>15</v>
      </c>
      <c r="G63" s="6" t="s">
        <v>22</v>
      </c>
      <c r="H63" s="6" t="n">
        <v>73</v>
      </c>
    </row>
    <row r="64" customFormat="false" ht="15" hidden="false" customHeight="true" outlineLevel="0" collapsed="false">
      <c r="A64" s="6" t="n">
        <v>60</v>
      </c>
      <c r="B64" s="6" t="s">
        <v>11</v>
      </c>
      <c r="C64" s="6" t="s">
        <v>10</v>
      </c>
      <c r="D64" s="6" t="s">
        <v>8</v>
      </c>
      <c r="E64" s="6" t="s">
        <v>8</v>
      </c>
      <c r="F64" s="6" t="s">
        <v>15</v>
      </c>
      <c r="G64" s="6" t="s">
        <v>22</v>
      </c>
      <c r="H64" s="6" t="n">
        <v>74</v>
      </c>
    </row>
    <row r="65" customFormat="false" ht="15" hidden="false" customHeight="true" outlineLevel="0" collapsed="false">
      <c r="A65" s="6" t="n">
        <v>61</v>
      </c>
      <c r="B65" s="6" t="s">
        <v>11</v>
      </c>
      <c r="C65" s="6" t="s">
        <v>10</v>
      </c>
      <c r="D65" s="6" t="s">
        <v>8</v>
      </c>
      <c r="E65" s="6" t="s">
        <v>10</v>
      </c>
      <c r="F65" s="6" t="s">
        <v>15</v>
      </c>
      <c r="G65" s="6" t="s">
        <v>22</v>
      </c>
      <c r="H65" s="6" t="n">
        <v>75</v>
      </c>
    </row>
    <row r="66" customFormat="false" ht="15" hidden="false" customHeight="true" outlineLevel="0" collapsed="false">
      <c r="A66" s="6" t="n">
        <v>62</v>
      </c>
      <c r="B66" s="6" t="s">
        <v>11</v>
      </c>
      <c r="C66" s="6" t="s">
        <v>10</v>
      </c>
      <c r="D66" s="6" t="s">
        <v>8</v>
      </c>
      <c r="E66" s="6" t="s">
        <v>8</v>
      </c>
      <c r="F66" s="6" t="s">
        <v>15</v>
      </c>
      <c r="G66" s="6" t="s">
        <v>22</v>
      </c>
      <c r="H66" s="6" t="n">
        <v>76</v>
      </c>
    </row>
    <row r="67" customFormat="false" ht="15" hidden="false" customHeight="true" outlineLevel="0" collapsed="false">
      <c r="A67" s="6" t="n">
        <v>63</v>
      </c>
      <c r="B67" s="6" t="s">
        <v>11</v>
      </c>
      <c r="C67" s="6" t="s">
        <v>8</v>
      </c>
      <c r="D67" s="6" t="s">
        <v>7</v>
      </c>
      <c r="E67" s="6" t="s">
        <v>8</v>
      </c>
      <c r="F67" s="6" t="s">
        <v>15</v>
      </c>
      <c r="G67" s="6" t="s">
        <v>22</v>
      </c>
      <c r="H67" s="6" t="n">
        <v>79</v>
      </c>
    </row>
    <row r="68" customFormat="false" ht="15" hidden="false" customHeight="true" outlineLevel="0" collapsed="false">
      <c r="A68" s="6" t="n">
        <v>64</v>
      </c>
      <c r="B68" s="6" t="s">
        <v>11</v>
      </c>
      <c r="C68" s="6" t="s">
        <v>10</v>
      </c>
      <c r="D68" s="6" t="s">
        <v>8</v>
      </c>
      <c r="E68" s="6" t="s">
        <v>8</v>
      </c>
      <c r="F68" s="6" t="s">
        <v>15</v>
      </c>
      <c r="G68" s="6" t="s">
        <v>22</v>
      </c>
      <c r="H68" s="6" t="n">
        <v>80</v>
      </c>
    </row>
    <row r="69" customFormat="false" ht="15" hidden="false" customHeight="true" outlineLevel="0" collapsed="false">
      <c r="A69" s="6" t="n">
        <v>65</v>
      </c>
      <c r="B69" s="6" t="s">
        <v>11</v>
      </c>
      <c r="C69" s="6" t="s">
        <v>8</v>
      </c>
      <c r="D69" s="6" t="s">
        <v>8</v>
      </c>
      <c r="E69" s="6" t="s">
        <v>8</v>
      </c>
      <c r="F69" s="6" t="s">
        <v>15</v>
      </c>
      <c r="G69" s="6" t="s">
        <v>22</v>
      </c>
      <c r="H69" s="6" t="n">
        <v>81</v>
      </c>
    </row>
    <row r="70" customFormat="false" ht="15" hidden="false" customHeight="true" outlineLevel="0" collapsed="false">
      <c r="A70" s="6" t="n">
        <v>66</v>
      </c>
      <c r="B70" s="6" t="s">
        <v>12</v>
      </c>
      <c r="C70" s="6" t="s">
        <v>10</v>
      </c>
      <c r="D70" s="6" t="s">
        <v>8</v>
      </c>
      <c r="E70" s="6" t="s">
        <v>8</v>
      </c>
      <c r="F70" s="6" t="s">
        <v>15</v>
      </c>
      <c r="G70" s="6" t="s">
        <v>22</v>
      </c>
      <c r="H70" s="6" t="n">
        <v>82</v>
      </c>
    </row>
    <row r="71" customFormat="false" ht="15" hidden="false" customHeight="true" outlineLevel="0" collapsed="false">
      <c r="A71" s="6" t="n">
        <v>67</v>
      </c>
      <c r="B71" s="6" t="s">
        <v>12</v>
      </c>
      <c r="C71" s="6" t="s">
        <v>10</v>
      </c>
      <c r="D71" s="6" t="s">
        <v>8</v>
      </c>
      <c r="E71" s="6" t="s">
        <v>7</v>
      </c>
      <c r="F71" s="6" t="s">
        <v>15</v>
      </c>
      <c r="G71" s="6" t="s">
        <v>22</v>
      </c>
      <c r="H71" s="6" t="n">
        <v>83</v>
      </c>
    </row>
    <row r="72" customFormat="false" ht="15" hidden="false" customHeight="true" outlineLevel="0" collapsed="false">
      <c r="A72" s="6" t="n">
        <v>68</v>
      </c>
      <c r="B72" s="6" t="s">
        <v>12</v>
      </c>
      <c r="C72" s="6" t="s">
        <v>8</v>
      </c>
      <c r="D72" s="6" t="s">
        <v>8</v>
      </c>
      <c r="E72" s="6" t="s">
        <v>10</v>
      </c>
      <c r="F72" s="6" t="s">
        <v>15</v>
      </c>
      <c r="G72" s="6" t="s">
        <v>22</v>
      </c>
      <c r="H72" s="6" t="n">
        <v>85</v>
      </c>
    </row>
    <row r="73" customFormat="false" ht="15" hidden="false" customHeight="true" outlineLevel="0" collapsed="false">
      <c r="A73" s="6" t="n">
        <v>69</v>
      </c>
      <c r="B73" s="6" t="s">
        <v>12</v>
      </c>
      <c r="C73" s="6" t="s">
        <v>8</v>
      </c>
      <c r="D73" s="6" t="s">
        <v>8</v>
      </c>
      <c r="E73" s="6" t="s">
        <v>10</v>
      </c>
      <c r="F73" s="6" t="s">
        <v>15</v>
      </c>
      <c r="G73" s="6" t="s">
        <v>22</v>
      </c>
      <c r="H73" s="6" t="n">
        <v>86</v>
      </c>
    </row>
    <row r="74" customFormat="false" ht="15" hidden="false" customHeight="true" outlineLevel="0" collapsed="false">
      <c r="A74" s="6" t="n">
        <v>70</v>
      </c>
      <c r="B74" s="6" t="s">
        <v>12</v>
      </c>
      <c r="C74" s="6" t="s">
        <v>10</v>
      </c>
      <c r="D74" s="6" t="s">
        <v>8</v>
      </c>
      <c r="E74" s="6" t="s">
        <v>8</v>
      </c>
      <c r="F74" s="6" t="s">
        <v>15</v>
      </c>
      <c r="G74" s="6" t="s">
        <v>22</v>
      </c>
      <c r="H74" s="6" t="n">
        <v>88</v>
      </c>
    </row>
    <row r="75" customFormat="false" ht="15" hidden="false" customHeight="true" outlineLevel="0" collapsed="false">
      <c r="A75" s="6" t="n">
        <v>71</v>
      </c>
      <c r="B75" s="6" t="s">
        <v>12</v>
      </c>
      <c r="C75" s="6" t="s">
        <v>8</v>
      </c>
      <c r="D75" s="6" t="s">
        <v>8</v>
      </c>
      <c r="E75" s="6" t="s">
        <v>8</v>
      </c>
      <c r="F75" s="6" t="s">
        <v>15</v>
      </c>
      <c r="G75" s="6" t="s">
        <v>22</v>
      </c>
      <c r="H75" s="6" t="n">
        <v>89</v>
      </c>
    </row>
    <row r="76" customFormat="false" ht="15" hidden="false" customHeight="true" outlineLevel="0" collapsed="false">
      <c r="A76" s="6" t="n">
        <v>72</v>
      </c>
      <c r="B76" s="6" t="s">
        <v>12</v>
      </c>
      <c r="C76" s="6" t="s">
        <v>8</v>
      </c>
      <c r="D76" s="6" t="s">
        <v>7</v>
      </c>
      <c r="E76" s="6" t="s">
        <v>8</v>
      </c>
      <c r="F76" s="6" t="s">
        <v>15</v>
      </c>
      <c r="G76" s="6" t="s">
        <v>22</v>
      </c>
      <c r="H76" s="6" t="n">
        <v>90</v>
      </c>
    </row>
    <row r="77" customFormat="false" ht="15" hidden="false" customHeight="true" outlineLevel="0" collapsed="false">
      <c r="A77" s="6" t="n">
        <v>73</v>
      </c>
      <c r="B77" s="6" t="s">
        <v>12</v>
      </c>
      <c r="C77" s="6" t="s">
        <v>8</v>
      </c>
      <c r="D77" s="6" t="s">
        <v>7</v>
      </c>
      <c r="E77" s="6" t="s">
        <v>10</v>
      </c>
      <c r="F77" s="6" t="s">
        <v>15</v>
      </c>
      <c r="G77" s="6" t="s">
        <v>22</v>
      </c>
      <c r="H77" s="6" t="n">
        <v>92</v>
      </c>
    </row>
    <row r="78" customFormat="false" ht="15" hidden="false" customHeight="true" outlineLevel="0" collapsed="false">
      <c r="A78" s="6" t="n">
        <v>74</v>
      </c>
      <c r="B78" s="6" t="s">
        <v>12</v>
      </c>
      <c r="C78" s="6" t="s">
        <v>8</v>
      </c>
      <c r="D78" s="6" t="s">
        <v>7</v>
      </c>
      <c r="E78" s="6" t="s">
        <v>8</v>
      </c>
      <c r="F78" s="6" t="s">
        <v>15</v>
      </c>
      <c r="G78" s="6" t="s">
        <v>22</v>
      </c>
      <c r="H78" s="6" t="n">
        <v>93</v>
      </c>
    </row>
    <row r="79" customFormat="false" ht="15" hidden="false" customHeight="true" outlineLevel="0" collapsed="false">
      <c r="A79" s="6" t="n">
        <v>75</v>
      </c>
      <c r="B79" s="6" t="s">
        <v>12</v>
      </c>
      <c r="C79" s="6" t="s">
        <v>8</v>
      </c>
      <c r="D79" s="6" t="s">
        <v>7</v>
      </c>
      <c r="E79" s="6" t="s">
        <v>10</v>
      </c>
      <c r="F79" s="6" t="s">
        <v>15</v>
      </c>
      <c r="G79" s="6" t="s">
        <v>22</v>
      </c>
      <c r="H79" s="6" t="n">
        <v>95</v>
      </c>
    </row>
    <row r="80" customFormat="false" ht="15" hidden="false" customHeight="true" outlineLevel="0" collapsed="false">
      <c r="A80" s="6" t="n">
        <v>76</v>
      </c>
      <c r="B80" s="6" t="s">
        <v>12</v>
      </c>
      <c r="C80" s="6" t="s">
        <v>8</v>
      </c>
      <c r="D80" s="6" t="s">
        <v>7</v>
      </c>
      <c r="E80" s="6" t="s">
        <v>8</v>
      </c>
      <c r="F80" s="6" t="s">
        <v>15</v>
      </c>
      <c r="G80" s="6" t="s">
        <v>22</v>
      </c>
      <c r="H80" s="6" t="n">
        <v>96</v>
      </c>
    </row>
    <row r="81" customFormat="false" ht="15" hidden="false" customHeight="true" outlineLevel="0" collapsed="false">
      <c r="A81" s="6" t="n">
        <v>77</v>
      </c>
      <c r="B81" s="6" t="s">
        <v>12</v>
      </c>
      <c r="C81" s="6" t="s">
        <v>8</v>
      </c>
      <c r="D81" s="6" t="s">
        <v>7</v>
      </c>
      <c r="E81" s="6" t="s">
        <v>8</v>
      </c>
      <c r="F81" s="6" t="s">
        <v>15</v>
      </c>
      <c r="G81" s="6" t="s">
        <v>22</v>
      </c>
      <c r="H81" s="6" t="n">
        <v>97</v>
      </c>
    </row>
    <row r="82" customFormat="false" ht="15" hidden="false" customHeight="true" outlineLevel="0" collapsed="false">
      <c r="A82" s="6" t="n">
        <v>78</v>
      </c>
      <c r="B82" s="6" t="s">
        <v>12</v>
      </c>
      <c r="C82" s="6" t="s">
        <v>8</v>
      </c>
      <c r="D82" s="6" t="s">
        <v>7</v>
      </c>
      <c r="E82" s="6" t="s">
        <v>10</v>
      </c>
      <c r="F82" s="6" t="s">
        <v>15</v>
      </c>
      <c r="G82" s="6" t="s">
        <v>22</v>
      </c>
      <c r="H82" s="6" t="n">
        <v>99</v>
      </c>
    </row>
    <row r="83" customFormat="false" ht="15" hidden="false" customHeight="true" outlineLevel="0" collapsed="false">
      <c r="A83" s="6" t="n">
        <v>79</v>
      </c>
      <c r="B83" s="6" t="s">
        <v>12</v>
      </c>
      <c r="C83" s="6" t="s">
        <v>8</v>
      </c>
      <c r="D83" s="6" t="s">
        <v>7</v>
      </c>
      <c r="E83" s="6" t="s">
        <v>10</v>
      </c>
      <c r="F83" s="6" t="s">
        <v>15</v>
      </c>
      <c r="G83" s="6" t="s">
        <v>22</v>
      </c>
      <c r="H83" s="6" t="n">
        <v>101</v>
      </c>
    </row>
    <row r="84" customFormat="false" ht="15" hidden="false" customHeight="true" outlineLevel="0" collapsed="false">
      <c r="A84" s="6" t="n">
        <v>80</v>
      </c>
      <c r="B84" s="6" t="s">
        <v>12</v>
      </c>
      <c r="C84" s="6" t="s">
        <v>10</v>
      </c>
      <c r="D84" s="6" t="s">
        <v>8</v>
      </c>
      <c r="E84" s="6" t="s">
        <v>8</v>
      </c>
      <c r="F84" s="6" t="s">
        <v>15</v>
      </c>
      <c r="G84" s="6" t="s">
        <v>22</v>
      </c>
      <c r="H84" s="6" t="n">
        <v>102</v>
      </c>
    </row>
    <row r="85" customFormat="false" ht="15" hidden="false" customHeight="true" outlineLevel="0" collapsed="false">
      <c r="A85" s="6" t="n">
        <v>81</v>
      </c>
      <c r="B85" s="6" t="s">
        <v>12</v>
      </c>
      <c r="C85" s="6" t="s">
        <v>8</v>
      </c>
      <c r="D85" s="6" t="s">
        <v>8</v>
      </c>
      <c r="E85" s="6" t="s">
        <v>10</v>
      </c>
      <c r="F85" s="6" t="s">
        <v>15</v>
      </c>
      <c r="G85" s="6" t="s">
        <v>22</v>
      </c>
      <c r="H85" s="6" t="n">
        <v>103</v>
      </c>
    </row>
    <row r="86" customFormat="false" ht="15" hidden="false" customHeight="true" outlineLevel="0" collapsed="false">
      <c r="A86" s="6" t="n">
        <v>82</v>
      </c>
      <c r="B86" s="6" t="s">
        <v>12</v>
      </c>
      <c r="C86" s="6" t="s">
        <v>8</v>
      </c>
      <c r="D86" s="6" t="s">
        <v>8</v>
      </c>
      <c r="E86" s="6" t="s">
        <v>10</v>
      </c>
      <c r="F86" s="6" t="s">
        <v>15</v>
      </c>
      <c r="G86" s="6" t="s">
        <v>22</v>
      </c>
      <c r="H86" s="6" t="n">
        <v>104</v>
      </c>
    </row>
    <row r="87" customFormat="false" ht="15" hidden="false" customHeight="true" outlineLevel="0" collapsed="false">
      <c r="A87" s="6" t="n">
        <v>83</v>
      </c>
      <c r="B87" s="6" t="s">
        <v>12</v>
      </c>
      <c r="C87" s="6" t="s">
        <v>8</v>
      </c>
      <c r="D87" s="6" t="s">
        <v>8</v>
      </c>
      <c r="E87" s="6" t="s">
        <v>8</v>
      </c>
      <c r="F87" s="6" t="s">
        <v>15</v>
      </c>
      <c r="G87" s="6" t="s">
        <v>22</v>
      </c>
      <c r="H87" s="6" t="n">
        <v>105</v>
      </c>
    </row>
    <row r="88" customFormat="false" ht="15" hidden="false" customHeight="true" outlineLevel="0" collapsed="false">
      <c r="A88" s="6" t="n">
        <v>84</v>
      </c>
      <c r="B88" s="6" t="s">
        <v>12</v>
      </c>
      <c r="C88" s="6" t="s">
        <v>8</v>
      </c>
      <c r="D88" s="6" t="s">
        <v>7</v>
      </c>
      <c r="E88" s="6" t="s">
        <v>8</v>
      </c>
      <c r="F88" s="6" t="s">
        <v>15</v>
      </c>
      <c r="G88" s="6" t="s">
        <v>22</v>
      </c>
      <c r="H88" s="6" t="n">
        <v>106</v>
      </c>
    </row>
    <row r="89" customFormat="false" ht="15" hidden="false" customHeight="true" outlineLevel="0" collapsed="false">
      <c r="A89" s="6" t="n">
        <v>85</v>
      </c>
      <c r="B89" s="6" t="s">
        <v>12</v>
      </c>
      <c r="C89" s="6" t="s">
        <v>10</v>
      </c>
      <c r="D89" s="6" t="s">
        <v>8</v>
      </c>
      <c r="E89" s="6" t="s">
        <v>8</v>
      </c>
      <c r="F89" s="6" t="s">
        <v>15</v>
      </c>
      <c r="G89" s="6" t="s">
        <v>22</v>
      </c>
      <c r="H89" s="6" t="n">
        <v>107</v>
      </c>
    </row>
    <row r="90" customFormat="false" ht="15" hidden="false" customHeight="true" outlineLevel="0" collapsed="false">
      <c r="A90" s="6" t="n">
        <v>86</v>
      </c>
      <c r="B90" s="6" t="s">
        <v>12</v>
      </c>
      <c r="C90" s="6" t="s">
        <v>10</v>
      </c>
      <c r="D90" s="6" t="s">
        <v>8</v>
      </c>
      <c r="E90" s="6" t="s">
        <v>8</v>
      </c>
      <c r="F90" s="6" t="s">
        <v>15</v>
      </c>
      <c r="G90" s="6" t="s">
        <v>22</v>
      </c>
      <c r="H90" s="6" t="n">
        <v>108</v>
      </c>
    </row>
    <row r="91" customFormat="false" ht="15" hidden="false" customHeight="true" outlineLevel="0" collapsed="false">
      <c r="A91" s="6" t="n">
        <v>87</v>
      </c>
      <c r="B91" s="6" t="s">
        <v>12</v>
      </c>
      <c r="C91" s="6" t="s">
        <v>10</v>
      </c>
      <c r="D91" s="6" t="s">
        <v>8</v>
      </c>
      <c r="E91" s="6" t="s">
        <v>8</v>
      </c>
      <c r="F91" s="6" t="s">
        <v>15</v>
      </c>
      <c r="G91" s="6" t="s">
        <v>22</v>
      </c>
      <c r="H91" s="6" t="n">
        <v>109</v>
      </c>
    </row>
    <row r="92" customFormat="false" ht="15" hidden="false" customHeight="true" outlineLevel="0" collapsed="false">
      <c r="A92" s="6" t="n">
        <v>88</v>
      </c>
      <c r="B92" s="6" t="s">
        <v>6</v>
      </c>
      <c r="C92" s="6" t="s">
        <v>7</v>
      </c>
      <c r="D92" s="6" t="s">
        <v>8</v>
      </c>
      <c r="E92" s="6" t="s">
        <v>8</v>
      </c>
      <c r="F92" s="6" t="s">
        <v>16</v>
      </c>
      <c r="G92" s="6" t="s">
        <v>22</v>
      </c>
      <c r="H92" s="6" t="n">
        <v>110</v>
      </c>
    </row>
    <row r="93" customFormat="false" ht="15" hidden="false" customHeight="true" outlineLevel="0" collapsed="false">
      <c r="A93" s="6" t="n">
        <v>89</v>
      </c>
      <c r="B93" s="6" t="s">
        <v>6</v>
      </c>
      <c r="C93" s="6" t="s">
        <v>7</v>
      </c>
      <c r="D93" s="6" t="s">
        <v>8</v>
      </c>
      <c r="E93" s="6" t="s">
        <v>8</v>
      </c>
      <c r="F93" s="6" t="s">
        <v>16</v>
      </c>
      <c r="G93" s="6" t="s">
        <v>22</v>
      </c>
      <c r="H93" s="6" t="n">
        <v>113</v>
      </c>
    </row>
    <row r="94" customFormat="false" ht="15" hidden="false" customHeight="true" outlineLevel="0" collapsed="false">
      <c r="A94" s="6" t="n">
        <v>90</v>
      </c>
      <c r="B94" s="6" t="s">
        <v>6</v>
      </c>
      <c r="C94" s="6" t="s">
        <v>7</v>
      </c>
      <c r="D94" s="6" t="s">
        <v>8</v>
      </c>
      <c r="E94" s="6" t="s">
        <v>7</v>
      </c>
      <c r="F94" s="6" t="s">
        <v>16</v>
      </c>
      <c r="G94" s="6" t="s">
        <v>22</v>
      </c>
      <c r="H94" s="6" t="n">
        <v>114</v>
      </c>
    </row>
    <row r="95" customFormat="false" ht="15" hidden="false" customHeight="true" outlineLevel="0" collapsed="false">
      <c r="A95" s="6" t="n">
        <v>91</v>
      </c>
      <c r="B95" s="6" t="s">
        <v>6</v>
      </c>
      <c r="C95" s="6" t="s">
        <v>7</v>
      </c>
      <c r="D95" s="6" t="s">
        <v>7</v>
      </c>
      <c r="E95" s="6" t="s">
        <v>7</v>
      </c>
      <c r="F95" s="6" t="s">
        <v>16</v>
      </c>
      <c r="G95" s="6" t="s">
        <v>22</v>
      </c>
      <c r="H95" s="6" t="n">
        <v>115</v>
      </c>
    </row>
    <row r="96" customFormat="false" ht="15" hidden="false" customHeight="true" outlineLevel="0" collapsed="false">
      <c r="A96" s="6" t="n">
        <v>92</v>
      </c>
      <c r="B96" s="6" t="s">
        <v>6</v>
      </c>
      <c r="C96" s="6" t="s">
        <v>7</v>
      </c>
      <c r="D96" s="6" t="s">
        <v>8</v>
      </c>
      <c r="E96" s="6" t="s">
        <v>7</v>
      </c>
      <c r="F96" s="6" t="s">
        <v>16</v>
      </c>
      <c r="G96" s="6" t="s">
        <v>22</v>
      </c>
      <c r="H96" s="6" t="n">
        <v>116</v>
      </c>
    </row>
    <row r="97" customFormat="false" ht="15" hidden="false" customHeight="true" outlineLevel="0" collapsed="false">
      <c r="A97" s="6" t="n">
        <v>93</v>
      </c>
      <c r="B97" s="6" t="s">
        <v>6</v>
      </c>
      <c r="C97" s="6" t="s">
        <v>7</v>
      </c>
      <c r="D97" s="6" t="s">
        <v>8</v>
      </c>
      <c r="E97" s="6" t="s">
        <v>7</v>
      </c>
      <c r="F97" s="6" t="s">
        <v>16</v>
      </c>
      <c r="G97" s="6" t="s">
        <v>22</v>
      </c>
      <c r="H97" s="6" t="n">
        <v>117</v>
      </c>
    </row>
    <row r="98" customFormat="false" ht="15" hidden="false" customHeight="true" outlineLevel="0" collapsed="false">
      <c r="A98" s="6" t="n">
        <v>94</v>
      </c>
      <c r="B98" s="6" t="s">
        <v>6</v>
      </c>
      <c r="C98" s="6" t="s">
        <v>7</v>
      </c>
      <c r="D98" s="6" t="s">
        <v>8</v>
      </c>
      <c r="E98" s="6" t="s">
        <v>7</v>
      </c>
      <c r="F98" s="6" t="s">
        <v>16</v>
      </c>
      <c r="G98" s="6" t="s">
        <v>22</v>
      </c>
      <c r="H98" s="6" t="n">
        <v>118</v>
      </c>
    </row>
    <row r="99" customFormat="false" ht="15" hidden="false" customHeight="true" outlineLevel="0" collapsed="false">
      <c r="A99" s="6" t="n">
        <v>95</v>
      </c>
      <c r="B99" s="6" t="s">
        <v>6</v>
      </c>
      <c r="C99" s="6" t="s">
        <v>7</v>
      </c>
      <c r="D99" s="6" t="s">
        <v>8</v>
      </c>
      <c r="E99" s="6" t="s">
        <v>7</v>
      </c>
      <c r="F99" s="6" t="s">
        <v>16</v>
      </c>
      <c r="G99" s="6" t="s">
        <v>22</v>
      </c>
      <c r="H99" s="6" t="n">
        <v>119</v>
      </c>
    </row>
    <row r="100" customFormat="false" ht="15" hidden="false" customHeight="true" outlineLevel="0" collapsed="false">
      <c r="A100" s="6" t="n">
        <v>96</v>
      </c>
      <c r="B100" s="6" t="s">
        <v>6</v>
      </c>
      <c r="C100" s="6" t="s">
        <v>7</v>
      </c>
      <c r="D100" s="6" t="s">
        <v>8</v>
      </c>
      <c r="E100" s="6" t="s">
        <v>7</v>
      </c>
      <c r="F100" s="6" t="s">
        <v>16</v>
      </c>
      <c r="G100" s="6" t="s">
        <v>22</v>
      </c>
      <c r="H100" s="6" t="n">
        <v>120</v>
      </c>
    </row>
    <row r="101" customFormat="false" ht="15" hidden="false" customHeight="true" outlineLevel="0" collapsed="false">
      <c r="A101" s="6" t="n">
        <v>97</v>
      </c>
      <c r="B101" s="6" t="s">
        <v>6</v>
      </c>
      <c r="C101" s="6" t="s">
        <v>7</v>
      </c>
      <c r="D101" s="6" t="s">
        <v>7</v>
      </c>
      <c r="E101" s="6" t="s">
        <v>7</v>
      </c>
      <c r="F101" s="6" t="s">
        <v>16</v>
      </c>
      <c r="G101" s="6" t="s">
        <v>22</v>
      </c>
      <c r="H101" s="6" t="n">
        <v>121</v>
      </c>
    </row>
    <row r="102" customFormat="false" ht="15" hidden="false" customHeight="true" outlineLevel="0" collapsed="false">
      <c r="A102" s="6" t="n">
        <v>98</v>
      </c>
      <c r="B102" s="6" t="s">
        <v>6</v>
      </c>
      <c r="C102" s="6" t="s">
        <v>8</v>
      </c>
      <c r="D102" s="6" t="s">
        <v>7</v>
      </c>
      <c r="E102" s="6" t="s">
        <v>7</v>
      </c>
      <c r="F102" s="6" t="s">
        <v>16</v>
      </c>
      <c r="G102" s="6" t="s">
        <v>22</v>
      </c>
      <c r="H102" s="6" t="n">
        <v>122</v>
      </c>
    </row>
    <row r="103" customFormat="false" ht="15" hidden="false" customHeight="true" outlineLevel="0" collapsed="false">
      <c r="A103" s="6" t="n">
        <v>99</v>
      </c>
      <c r="B103" s="6" t="s">
        <v>6</v>
      </c>
      <c r="C103" s="6" t="s">
        <v>8</v>
      </c>
      <c r="D103" s="6" t="s">
        <v>7</v>
      </c>
      <c r="E103" s="6" t="s">
        <v>7</v>
      </c>
      <c r="F103" s="6" t="s">
        <v>16</v>
      </c>
      <c r="G103" s="6" t="s">
        <v>22</v>
      </c>
      <c r="H103" s="6" t="n">
        <v>123</v>
      </c>
    </row>
    <row r="104" customFormat="false" ht="15" hidden="false" customHeight="true" outlineLevel="0" collapsed="false">
      <c r="A104" s="6" t="n">
        <v>100</v>
      </c>
      <c r="B104" s="6" t="s">
        <v>6</v>
      </c>
      <c r="C104" s="6" t="s">
        <v>8</v>
      </c>
      <c r="D104" s="6" t="s">
        <v>7</v>
      </c>
      <c r="E104" s="6" t="s">
        <v>7</v>
      </c>
      <c r="F104" s="6" t="s">
        <v>16</v>
      </c>
      <c r="G104" s="6" t="s">
        <v>22</v>
      </c>
      <c r="H104" s="6" t="n">
        <v>125</v>
      </c>
    </row>
    <row r="105" customFormat="false" ht="15" hidden="false" customHeight="true" outlineLevel="0" collapsed="false">
      <c r="A105" s="6" t="n">
        <v>101</v>
      </c>
      <c r="B105" s="6" t="s">
        <v>11</v>
      </c>
      <c r="C105" s="6" t="s">
        <v>8</v>
      </c>
      <c r="D105" s="6" t="s">
        <v>7</v>
      </c>
      <c r="E105" s="6" t="s">
        <v>8</v>
      </c>
      <c r="F105" s="6" t="s">
        <v>16</v>
      </c>
      <c r="G105" s="6" t="s">
        <v>22</v>
      </c>
      <c r="H105" s="6" t="n">
        <v>126</v>
      </c>
    </row>
    <row r="106" customFormat="false" ht="15" hidden="false" customHeight="true" outlineLevel="0" collapsed="false">
      <c r="A106" s="6" t="n">
        <v>102</v>
      </c>
      <c r="B106" s="6" t="s">
        <v>11</v>
      </c>
      <c r="C106" s="6" t="s">
        <v>7</v>
      </c>
      <c r="D106" s="6" t="s">
        <v>8</v>
      </c>
      <c r="E106" s="6" t="s">
        <v>8</v>
      </c>
      <c r="F106" s="6" t="s">
        <v>16</v>
      </c>
      <c r="G106" s="6" t="s">
        <v>22</v>
      </c>
      <c r="H106" s="6" t="n">
        <v>127</v>
      </c>
    </row>
    <row r="107" customFormat="false" ht="15" hidden="false" customHeight="true" outlineLevel="0" collapsed="false">
      <c r="A107" s="6" t="n">
        <v>103</v>
      </c>
      <c r="B107" s="6" t="s">
        <v>11</v>
      </c>
      <c r="C107" s="6" t="s">
        <v>10</v>
      </c>
      <c r="D107" s="6" t="s">
        <v>8</v>
      </c>
      <c r="E107" s="6" t="s">
        <v>7</v>
      </c>
      <c r="F107" s="6" t="s">
        <v>16</v>
      </c>
      <c r="G107" s="6" t="s">
        <v>22</v>
      </c>
      <c r="H107" s="6" t="n">
        <v>128</v>
      </c>
    </row>
    <row r="108" customFormat="false" ht="15" hidden="false" customHeight="true" outlineLevel="0" collapsed="false">
      <c r="A108" s="6" t="n">
        <v>104</v>
      </c>
      <c r="B108" s="6" t="s">
        <v>11</v>
      </c>
      <c r="C108" s="6" t="s">
        <v>7</v>
      </c>
      <c r="D108" s="6" t="s">
        <v>8</v>
      </c>
      <c r="E108" s="6" t="s">
        <v>8</v>
      </c>
      <c r="F108" s="6" t="s">
        <v>16</v>
      </c>
      <c r="G108" s="6" t="s">
        <v>22</v>
      </c>
      <c r="H108" s="6" t="n">
        <v>129</v>
      </c>
    </row>
    <row r="109" customFormat="false" ht="15" hidden="false" customHeight="true" outlineLevel="0" collapsed="false">
      <c r="A109" s="6" t="n">
        <v>105</v>
      </c>
      <c r="B109" s="6" t="s">
        <v>11</v>
      </c>
      <c r="C109" s="6" t="s">
        <v>8</v>
      </c>
      <c r="D109" s="6" t="s">
        <v>7</v>
      </c>
      <c r="E109" s="6" t="s">
        <v>7</v>
      </c>
      <c r="F109" s="6" t="s">
        <v>16</v>
      </c>
      <c r="G109" s="6" t="s">
        <v>22</v>
      </c>
      <c r="H109" s="6" t="n">
        <v>132</v>
      </c>
    </row>
    <row r="110" customFormat="false" ht="15" hidden="false" customHeight="true" outlineLevel="0" collapsed="false">
      <c r="A110" s="6" t="n">
        <v>106</v>
      </c>
      <c r="B110" s="6" t="s">
        <v>11</v>
      </c>
      <c r="C110" s="6" t="s">
        <v>7</v>
      </c>
      <c r="D110" s="6" t="s">
        <v>8</v>
      </c>
      <c r="E110" s="6" t="s">
        <v>8</v>
      </c>
      <c r="F110" s="6" t="s">
        <v>16</v>
      </c>
      <c r="G110" s="6" t="s">
        <v>22</v>
      </c>
      <c r="H110" s="6" t="n">
        <v>134</v>
      </c>
    </row>
    <row r="111" customFormat="false" ht="15" hidden="false" customHeight="true" outlineLevel="0" collapsed="false">
      <c r="A111" s="6" t="n">
        <v>107</v>
      </c>
      <c r="B111" s="6" t="s">
        <v>11</v>
      </c>
      <c r="C111" s="6" t="s">
        <v>7</v>
      </c>
      <c r="D111" s="6" t="s">
        <v>7</v>
      </c>
      <c r="E111" s="6" t="s">
        <v>7</v>
      </c>
      <c r="F111" s="6" t="s">
        <v>16</v>
      </c>
      <c r="G111" s="6" t="s">
        <v>22</v>
      </c>
      <c r="H111" s="6" t="n">
        <v>135</v>
      </c>
    </row>
    <row r="112" customFormat="false" ht="15" hidden="false" customHeight="true" outlineLevel="0" collapsed="false">
      <c r="A112" s="6" t="n">
        <v>108</v>
      </c>
      <c r="B112" s="6" t="s">
        <v>11</v>
      </c>
      <c r="C112" s="6" t="s">
        <v>7</v>
      </c>
      <c r="D112" s="6" t="s">
        <v>8</v>
      </c>
      <c r="E112" s="6" t="s">
        <v>7</v>
      </c>
      <c r="F112" s="6" t="s">
        <v>16</v>
      </c>
      <c r="G112" s="6" t="s">
        <v>22</v>
      </c>
      <c r="H112" s="6" t="n">
        <v>136</v>
      </c>
    </row>
    <row r="113" customFormat="false" ht="15" hidden="false" customHeight="true" outlineLevel="0" collapsed="false">
      <c r="A113" s="6" t="n">
        <v>109</v>
      </c>
      <c r="B113" s="6" t="s">
        <v>11</v>
      </c>
      <c r="C113" s="6" t="s">
        <v>10</v>
      </c>
      <c r="D113" s="6" t="s">
        <v>7</v>
      </c>
      <c r="E113" s="6" t="s">
        <v>7</v>
      </c>
      <c r="F113" s="6" t="s">
        <v>16</v>
      </c>
      <c r="G113" s="6" t="s">
        <v>22</v>
      </c>
      <c r="H113" s="6" t="n">
        <v>137</v>
      </c>
    </row>
    <row r="114" customFormat="false" ht="15" hidden="false" customHeight="true" outlineLevel="0" collapsed="false">
      <c r="A114" s="6" t="n">
        <v>110</v>
      </c>
      <c r="B114" s="6" t="s">
        <v>11</v>
      </c>
      <c r="C114" s="6" t="s">
        <v>7</v>
      </c>
      <c r="D114" s="6" t="s">
        <v>7</v>
      </c>
      <c r="E114" s="6" t="s">
        <v>8</v>
      </c>
      <c r="F114" s="6" t="s">
        <v>16</v>
      </c>
      <c r="G114" s="6" t="s">
        <v>22</v>
      </c>
      <c r="H114" s="6" t="n">
        <v>138</v>
      </c>
    </row>
    <row r="115" customFormat="false" ht="15" hidden="false" customHeight="true" outlineLevel="0" collapsed="false">
      <c r="A115" s="6" t="n">
        <v>111</v>
      </c>
      <c r="B115" s="6" t="s">
        <v>11</v>
      </c>
      <c r="C115" s="6" t="s">
        <v>8</v>
      </c>
      <c r="D115" s="6" t="s">
        <v>7</v>
      </c>
      <c r="E115" s="6" t="s">
        <v>7</v>
      </c>
      <c r="F115" s="6" t="s">
        <v>16</v>
      </c>
      <c r="G115" s="6" t="s">
        <v>22</v>
      </c>
      <c r="H115" s="6" t="n">
        <v>140</v>
      </c>
    </row>
    <row r="116" customFormat="false" ht="15" hidden="false" customHeight="true" outlineLevel="0" collapsed="false">
      <c r="A116" s="6" t="n">
        <v>112</v>
      </c>
      <c r="B116" s="6" t="s">
        <v>11</v>
      </c>
      <c r="C116" s="6" t="s">
        <v>8</v>
      </c>
      <c r="D116" s="6" t="s">
        <v>7</v>
      </c>
      <c r="E116" s="6" t="s">
        <v>8</v>
      </c>
      <c r="F116" s="6" t="s">
        <v>16</v>
      </c>
      <c r="G116" s="6" t="s">
        <v>22</v>
      </c>
      <c r="H116" s="6" t="n">
        <v>141</v>
      </c>
    </row>
    <row r="117" customFormat="false" ht="15" hidden="false" customHeight="true" outlineLevel="0" collapsed="false">
      <c r="A117" s="6" t="n">
        <v>113</v>
      </c>
      <c r="B117" s="6" t="s">
        <v>11</v>
      </c>
      <c r="C117" s="6" t="s">
        <v>7</v>
      </c>
      <c r="D117" s="6" t="s">
        <v>8</v>
      </c>
      <c r="E117" s="6" t="s">
        <v>7</v>
      </c>
      <c r="F117" s="6" t="s">
        <v>16</v>
      </c>
      <c r="G117" s="6" t="s">
        <v>22</v>
      </c>
      <c r="H117" s="6" t="n">
        <v>142</v>
      </c>
    </row>
    <row r="118" customFormat="false" ht="15" hidden="false" customHeight="true" outlineLevel="0" collapsed="false">
      <c r="A118" s="6" t="n">
        <v>114</v>
      </c>
      <c r="B118" s="6" t="s">
        <v>11</v>
      </c>
      <c r="C118" s="6" t="s">
        <v>10</v>
      </c>
      <c r="D118" s="6" t="s">
        <v>8</v>
      </c>
      <c r="E118" s="6" t="s">
        <v>8</v>
      </c>
      <c r="F118" s="6" t="s">
        <v>16</v>
      </c>
      <c r="G118" s="6" t="s">
        <v>22</v>
      </c>
      <c r="H118" s="6" t="n">
        <v>143</v>
      </c>
    </row>
    <row r="119" customFormat="false" ht="15" hidden="false" customHeight="true" outlineLevel="0" collapsed="false">
      <c r="A119" s="6" t="n">
        <v>115</v>
      </c>
      <c r="B119" s="6" t="s">
        <v>11</v>
      </c>
      <c r="C119" s="6" t="s">
        <v>7</v>
      </c>
      <c r="D119" s="6" t="s">
        <v>8</v>
      </c>
      <c r="E119" s="6" t="s">
        <v>7</v>
      </c>
      <c r="F119" s="6" t="s">
        <v>16</v>
      </c>
      <c r="G119" s="6" t="s">
        <v>22</v>
      </c>
      <c r="H119" s="6" t="n">
        <v>144</v>
      </c>
    </row>
    <row r="120" customFormat="false" ht="15" hidden="false" customHeight="true" outlineLevel="0" collapsed="false">
      <c r="A120" s="6" t="n">
        <v>116</v>
      </c>
      <c r="B120" s="6" t="s">
        <v>11</v>
      </c>
      <c r="C120" s="6" t="s">
        <v>10</v>
      </c>
      <c r="D120" s="6" t="s">
        <v>7</v>
      </c>
      <c r="E120" s="6" t="s">
        <v>8</v>
      </c>
      <c r="F120" s="6" t="s">
        <v>16</v>
      </c>
      <c r="G120" s="6" t="s">
        <v>22</v>
      </c>
      <c r="H120" s="6" t="n">
        <v>145</v>
      </c>
    </row>
    <row r="121" customFormat="false" ht="15" hidden="false" customHeight="true" outlineLevel="0" collapsed="false">
      <c r="A121" s="6" t="n">
        <v>117</v>
      </c>
      <c r="B121" s="6" t="s">
        <v>11</v>
      </c>
      <c r="C121" s="6" t="s">
        <v>10</v>
      </c>
      <c r="D121" s="6" t="s">
        <v>8</v>
      </c>
      <c r="E121" s="6" t="s">
        <v>7</v>
      </c>
      <c r="F121" s="6" t="s">
        <v>16</v>
      </c>
      <c r="G121" s="6" t="s">
        <v>22</v>
      </c>
      <c r="H121" s="6" t="n">
        <v>146</v>
      </c>
    </row>
    <row r="122" customFormat="false" ht="15" hidden="false" customHeight="true" outlineLevel="0" collapsed="false">
      <c r="A122" s="6" t="n">
        <v>118</v>
      </c>
      <c r="B122" s="6" t="s">
        <v>11</v>
      </c>
      <c r="C122" s="6" t="s">
        <v>8</v>
      </c>
      <c r="D122" s="6" t="s">
        <v>8</v>
      </c>
      <c r="E122" s="6" t="s">
        <v>8</v>
      </c>
      <c r="F122" s="6" t="s">
        <v>16</v>
      </c>
      <c r="G122" s="6" t="s">
        <v>22</v>
      </c>
      <c r="H122" s="6" t="n">
        <v>148</v>
      </c>
    </row>
    <row r="123" customFormat="false" ht="15" hidden="false" customHeight="true" outlineLevel="0" collapsed="false">
      <c r="A123" s="6" t="n">
        <v>119</v>
      </c>
      <c r="B123" s="6" t="s">
        <v>11</v>
      </c>
      <c r="C123" s="6" t="s">
        <v>10</v>
      </c>
      <c r="D123" s="6" t="s">
        <v>8</v>
      </c>
      <c r="E123" s="6" t="s">
        <v>7</v>
      </c>
      <c r="F123" s="6" t="s">
        <v>16</v>
      </c>
      <c r="G123" s="6" t="s">
        <v>22</v>
      </c>
      <c r="H123" s="6" t="n">
        <v>149</v>
      </c>
    </row>
    <row r="124" customFormat="false" ht="15" hidden="false" customHeight="true" outlineLevel="0" collapsed="false">
      <c r="A124" s="6" t="n">
        <v>120</v>
      </c>
      <c r="B124" s="6" t="s">
        <v>11</v>
      </c>
      <c r="C124" s="6" t="s">
        <v>7</v>
      </c>
      <c r="D124" s="6" t="s">
        <v>7</v>
      </c>
      <c r="E124" s="6" t="s">
        <v>7</v>
      </c>
      <c r="F124" s="6" t="s">
        <v>16</v>
      </c>
      <c r="G124" s="6" t="s">
        <v>22</v>
      </c>
      <c r="H124" s="6" t="n">
        <v>150</v>
      </c>
    </row>
    <row r="125" customFormat="false" ht="15" hidden="false" customHeight="true" outlineLevel="0" collapsed="false">
      <c r="A125" s="6" t="n">
        <v>121</v>
      </c>
      <c r="B125" s="6" t="s">
        <v>11</v>
      </c>
      <c r="C125" s="6" t="s">
        <v>7</v>
      </c>
      <c r="D125" s="6" t="s">
        <v>8</v>
      </c>
      <c r="E125" s="6" t="s">
        <v>8</v>
      </c>
      <c r="F125" s="6" t="s">
        <v>16</v>
      </c>
      <c r="G125" s="6" t="s">
        <v>22</v>
      </c>
      <c r="H125" s="6" t="n">
        <v>151</v>
      </c>
    </row>
    <row r="126" customFormat="false" ht="15" hidden="false" customHeight="true" outlineLevel="0" collapsed="false">
      <c r="A126" s="6" t="n">
        <v>122</v>
      </c>
      <c r="B126" s="6" t="s">
        <v>11</v>
      </c>
      <c r="C126" s="6" t="s">
        <v>10</v>
      </c>
      <c r="D126" s="6" t="s">
        <v>8</v>
      </c>
      <c r="E126" s="6" t="s">
        <v>8</v>
      </c>
      <c r="F126" s="6" t="s">
        <v>16</v>
      </c>
      <c r="G126" s="6" t="s">
        <v>22</v>
      </c>
      <c r="H126" s="6" t="n">
        <v>152</v>
      </c>
    </row>
    <row r="127" customFormat="false" ht="15" hidden="false" customHeight="true" outlineLevel="0" collapsed="false">
      <c r="A127" s="6" t="n">
        <v>123</v>
      </c>
      <c r="B127" s="6" t="s">
        <v>11</v>
      </c>
      <c r="C127" s="6" t="s">
        <v>8</v>
      </c>
      <c r="D127" s="6" t="s">
        <v>8</v>
      </c>
      <c r="E127" s="6" t="s">
        <v>7</v>
      </c>
      <c r="F127" s="6" t="s">
        <v>16</v>
      </c>
      <c r="G127" s="6" t="s">
        <v>22</v>
      </c>
      <c r="H127" s="6" t="n">
        <v>153</v>
      </c>
    </row>
    <row r="128" customFormat="false" ht="15" hidden="false" customHeight="true" outlineLevel="0" collapsed="false">
      <c r="A128" s="6" t="n">
        <v>124</v>
      </c>
      <c r="B128" s="6" t="s">
        <v>11</v>
      </c>
      <c r="C128" s="6" t="s">
        <v>10</v>
      </c>
      <c r="D128" s="6" t="s">
        <v>7</v>
      </c>
      <c r="E128" s="6" t="s">
        <v>7</v>
      </c>
      <c r="F128" s="6" t="s">
        <v>16</v>
      </c>
      <c r="G128" s="6" t="s">
        <v>22</v>
      </c>
      <c r="H128" s="6" t="n">
        <v>154</v>
      </c>
    </row>
    <row r="129" customFormat="false" ht="15" hidden="false" customHeight="true" outlineLevel="0" collapsed="false">
      <c r="A129" s="6" t="n">
        <v>125</v>
      </c>
      <c r="B129" s="6" t="s">
        <v>11</v>
      </c>
      <c r="C129" s="6" t="s">
        <v>7</v>
      </c>
      <c r="D129" s="6" t="s">
        <v>7</v>
      </c>
      <c r="E129" s="6" t="s">
        <v>7</v>
      </c>
      <c r="F129" s="6" t="s">
        <v>16</v>
      </c>
      <c r="G129" s="6" t="s">
        <v>22</v>
      </c>
      <c r="H129" s="6" t="n">
        <v>155</v>
      </c>
    </row>
    <row r="130" customFormat="false" ht="15" hidden="false" customHeight="true" outlineLevel="0" collapsed="false">
      <c r="A130" s="6" t="n">
        <v>126</v>
      </c>
      <c r="B130" s="6" t="s">
        <v>11</v>
      </c>
      <c r="C130" s="6" t="s">
        <v>10</v>
      </c>
      <c r="D130" s="6" t="s">
        <v>8</v>
      </c>
      <c r="E130" s="6" t="s">
        <v>7</v>
      </c>
      <c r="F130" s="6" t="s">
        <v>16</v>
      </c>
      <c r="G130" s="6" t="s">
        <v>22</v>
      </c>
      <c r="H130" s="6" t="n">
        <v>156</v>
      </c>
    </row>
    <row r="131" customFormat="false" ht="15" hidden="false" customHeight="true" outlineLevel="0" collapsed="false">
      <c r="A131" s="6" t="n">
        <v>127</v>
      </c>
      <c r="B131" s="6" t="s">
        <v>11</v>
      </c>
      <c r="C131" s="6" t="s">
        <v>10</v>
      </c>
      <c r="D131" s="6" t="s">
        <v>7</v>
      </c>
      <c r="E131" s="6" t="s">
        <v>8</v>
      </c>
      <c r="F131" s="6" t="s">
        <v>16</v>
      </c>
      <c r="G131" s="6" t="s">
        <v>22</v>
      </c>
      <c r="H131" s="6" t="n">
        <v>157</v>
      </c>
    </row>
    <row r="132" customFormat="false" ht="15" hidden="false" customHeight="true" outlineLevel="0" collapsed="false">
      <c r="A132" s="6" t="n">
        <v>128</v>
      </c>
      <c r="B132" s="6" t="s">
        <v>11</v>
      </c>
      <c r="C132" s="6" t="s">
        <v>10</v>
      </c>
      <c r="D132" s="6" t="s">
        <v>8</v>
      </c>
      <c r="E132" s="6" t="s">
        <v>8</v>
      </c>
      <c r="F132" s="6" t="s">
        <v>16</v>
      </c>
      <c r="G132" s="6" t="s">
        <v>22</v>
      </c>
      <c r="H132" s="6" t="n">
        <v>158</v>
      </c>
    </row>
    <row r="133" customFormat="false" ht="15" hidden="false" customHeight="true" outlineLevel="0" collapsed="false">
      <c r="A133" s="6" t="n">
        <v>129</v>
      </c>
      <c r="B133" s="6" t="s">
        <v>12</v>
      </c>
      <c r="C133" s="6" t="s">
        <v>10</v>
      </c>
      <c r="D133" s="6" t="s">
        <v>7</v>
      </c>
      <c r="E133" s="6" t="s">
        <v>8</v>
      </c>
      <c r="F133" s="6" t="s">
        <v>16</v>
      </c>
      <c r="G133" s="6" t="s">
        <v>22</v>
      </c>
      <c r="H133" s="6" t="n">
        <v>159</v>
      </c>
    </row>
    <row r="134" customFormat="false" ht="15" hidden="false" customHeight="true" outlineLevel="0" collapsed="false">
      <c r="A134" s="6" t="n">
        <v>130</v>
      </c>
      <c r="B134" s="6" t="s">
        <v>12</v>
      </c>
      <c r="C134" s="6" t="s">
        <v>7</v>
      </c>
      <c r="D134" s="6" t="s">
        <v>7</v>
      </c>
      <c r="E134" s="6" t="s">
        <v>7</v>
      </c>
      <c r="F134" s="6" t="s">
        <v>16</v>
      </c>
      <c r="G134" s="6" t="s">
        <v>22</v>
      </c>
      <c r="H134" s="6" t="n">
        <v>160</v>
      </c>
    </row>
    <row r="135" customFormat="false" ht="15" hidden="false" customHeight="true" outlineLevel="0" collapsed="false">
      <c r="A135" s="6" t="n">
        <v>131</v>
      </c>
      <c r="B135" s="6" t="s">
        <v>12</v>
      </c>
      <c r="C135" s="6" t="s">
        <v>10</v>
      </c>
      <c r="D135" s="6" t="s">
        <v>7</v>
      </c>
      <c r="E135" s="6" t="s">
        <v>8</v>
      </c>
      <c r="F135" s="6" t="s">
        <v>16</v>
      </c>
      <c r="G135" s="6" t="s">
        <v>22</v>
      </c>
      <c r="H135" s="6" t="n">
        <v>163</v>
      </c>
    </row>
    <row r="136" customFormat="false" ht="15" hidden="false" customHeight="true" outlineLevel="0" collapsed="false">
      <c r="A136" s="6" t="n">
        <v>132</v>
      </c>
      <c r="B136" s="6" t="s">
        <v>12</v>
      </c>
      <c r="C136" s="6" t="s">
        <v>8</v>
      </c>
      <c r="D136" s="6" t="s">
        <v>7</v>
      </c>
      <c r="E136" s="6" t="s">
        <v>8</v>
      </c>
      <c r="F136" s="6" t="s">
        <v>16</v>
      </c>
      <c r="G136" s="6" t="s">
        <v>22</v>
      </c>
      <c r="H136" s="6" t="n">
        <v>164</v>
      </c>
    </row>
    <row r="137" customFormat="false" ht="15" hidden="false" customHeight="true" outlineLevel="0" collapsed="false">
      <c r="A137" s="6" t="n">
        <v>133</v>
      </c>
      <c r="B137" s="6" t="s">
        <v>12</v>
      </c>
      <c r="C137" s="6" t="s">
        <v>8</v>
      </c>
      <c r="D137" s="6" t="s">
        <v>8</v>
      </c>
      <c r="E137" s="6" t="s">
        <v>8</v>
      </c>
      <c r="F137" s="6" t="s">
        <v>16</v>
      </c>
      <c r="G137" s="6" t="s">
        <v>22</v>
      </c>
      <c r="H137" s="6" t="n">
        <v>165</v>
      </c>
    </row>
    <row r="138" customFormat="false" ht="15" hidden="false" customHeight="true" outlineLevel="0" collapsed="false">
      <c r="A138" s="6" t="n">
        <v>134</v>
      </c>
      <c r="B138" s="6" t="s">
        <v>12</v>
      </c>
      <c r="C138" s="6" t="s">
        <v>8</v>
      </c>
      <c r="D138" s="6" t="s">
        <v>8</v>
      </c>
      <c r="E138" s="6" t="s">
        <v>7</v>
      </c>
      <c r="F138" s="6" t="s">
        <v>16</v>
      </c>
      <c r="G138" s="6" t="s">
        <v>22</v>
      </c>
      <c r="H138" s="6" t="n">
        <v>166</v>
      </c>
    </row>
    <row r="139" customFormat="false" ht="15" hidden="false" customHeight="true" outlineLevel="0" collapsed="false">
      <c r="A139" s="6" t="n">
        <v>135</v>
      </c>
      <c r="B139" s="6" t="s">
        <v>12</v>
      </c>
      <c r="C139" s="6" t="s">
        <v>7</v>
      </c>
      <c r="D139" s="6" t="s">
        <v>7</v>
      </c>
      <c r="E139" s="6" t="s">
        <v>8</v>
      </c>
      <c r="F139" s="6" t="s">
        <v>16</v>
      </c>
      <c r="G139" s="6" t="s">
        <v>22</v>
      </c>
      <c r="H139" s="6" t="n">
        <v>167</v>
      </c>
    </row>
    <row r="140" customFormat="false" ht="15" hidden="false" customHeight="true" outlineLevel="0" collapsed="false">
      <c r="A140" s="6" t="n">
        <v>136</v>
      </c>
      <c r="B140" s="6" t="s">
        <v>12</v>
      </c>
      <c r="C140" s="6" t="s">
        <v>10</v>
      </c>
      <c r="D140" s="6" t="s">
        <v>8</v>
      </c>
      <c r="E140" s="6" t="s">
        <v>7</v>
      </c>
      <c r="F140" s="6" t="s">
        <v>16</v>
      </c>
      <c r="G140" s="6" t="s">
        <v>22</v>
      </c>
      <c r="H140" s="6" t="n">
        <v>168</v>
      </c>
    </row>
    <row r="141" customFormat="false" ht="15" hidden="false" customHeight="true" outlineLevel="0" collapsed="false">
      <c r="A141" s="6" t="n">
        <v>137</v>
      </c>
      <c r="B141" s="6" t="s">
        <v>12</v>
      </c>
      <c r="C141" s="6" t="s">
        <v>8</v>
      </c>
      <c r="D141" s="6" t="s">
        <v>7</v>
      </c>
      <c r="E141" s="6" t="s">
        <v>7</v>
      </c>
      <c r="F141" s="6" t="s">
        <v>16</v>
      </c>
      <c r="G141" s="6" t="s">
        <v>22</v>
      </c>
      <c r="H141" s="6" t="n">
        <v>171</v>
      </c>
    </row>
    <row r="142" customFormat="false" ht="15" hidden="false" customHeight="true" outlineLevel="0" collapsed="false">
      <c r="A142" s="6" t="n">
        <v>138</v>
      </c>
      <c r="B142" s="6" t="s">
        <v>12</v>
      </c>
      <c r="C142" s="6" t="s">
        <v>10</v>
      </c>
      <c r="D142" s="6" t="s">
        <v>7</v>
      </c>
      <c r="E142" s="6" t="s">
        <v>8</v>
      </c>
      <c r="F142" s="6" t="s">
        <v>16</v>
      </c>
      <c r="G142" s="6" t="s">
        <v>22</v>
      </c>
      <c r="H142" s="6" t="n">
        <v>172</v>
      </c>
    </row>
    <row r="143" customFormat="false" ht="15" hidden="false" customHeight="true" outlineLevel="0" collapsed="false">
      <c r="A143" s="6" t="n">
        <v>139</v>
      </c>
      <c r="B143" s="6" t="s">
        <v>12</v>
      </c>
      <c r="C143" s="6" t="s">
        <v>10</v>
      </c>
      <c r="D143" s="6" t="s">
        <v>8</v>
      </c>
      <c r="E143" s="6" t="s">
        <v>8</v>
      </c>
      <c r="F143" s="6" t="s">
        <v>16</v>
      </c>
      <c r="G143" s="6" t="s">
        <v>22</v>
      </c>
      <c r="H143" s="6" t="n">
        <v>174</v>
      </c>
    </row>
    <row r="144" customFormat="false" ht="15" hidden="false" customHeight="true" outlineLevel="0" collapsed="false">
      <c r="A144" s="6" t="n">
        <v>140</v>
      </c>
      <c r="B144" s="6" t="s">
        <v>12</v>
      </c>
      <c r="C144" s="6" t="s">
        <v>8</v>
      </c>
      <c r="D144" s="6" t="s">
        <v>8</v>
      </c>
      <c r="E144" s="6" t="s">
        <v>7</v>
      </c>
      <c r="F144" s="6" t="s">
        <v>16</v>
      </c>
      <c r="G144" s="6" t="s">
        <v>22</v>
      </c>
      <c r="H144" s="6" t="n">
        <v>175</v>
      </c>
    </row>
    <row r="145" customFormat="false" ht="15" hidden="false" customHeight="true" outlineLevel="0" collapsed="false">
      <c r="A145" s="6" t="n">
        <v>141</v>
      </c>
      <c r="B145" s="6" t="s">
        <v>12</v>
      </c>
      <c r="C145" s="6" t="s">
        <v>7</v>
      </c>
      <c r="D145" s="6" t="s">
        <v>7</v>
      </c>
      <c r="E145" s="6" t="s">
        <v>8</v>
      </c>
      <c r="F145" s="6" t="s">
        <v>16</v>
      </c>
      <c r="G145" s="6" t="s">
        <v>22</v>
      </c>
      <c r="H145" s="6" t="n">
        <v>176</v>
      </c>
    </row>
    <row r="146" customFormat="false" ht="15" hidden="false" customHeight="true" outlineLevel="0" collapsed="false">
      <c r="A146" s="6" t="n">
        <v>142</v>
      </c>
      <c r="B146" s="6" t="s">
        <v>12</v>
      </c>
      <c r="C146" s="6" t="s">
        <v>7</v>
      </c>
      <c r="D146" s="6" t="s">
        <v>7</v>
      </c>
      <c r="E146" s="6" t="s">
        <v>8</v>
      </c>
      <c r="F146" s="6" t="s">
        <v>16</v>
      </c>
      <c r="G146" s="6" t="s">
        <v>22</v>
      </c>
      <c r="H146" s="6" t="n">
        <v>177</v>
      </c>
    </row>
    <row r="147" customFormat="false" ht="15" hidden="false" customHeight="true" outlineLevel="0" collapsed="false">
      <c r="A147" s="6" t="n">
        <v>143</v>
      </c>
      <c r="B147" s="6" t="s">
        <v>12</v>
      </c>
      <c r="C147" s="6" t="s">
        <v>10</v>
      </c>
      <c r="D147" s="6" t="s">
        <v>7</v>
      </c>
      <c r="E147" s="6" t="s">
        <v>7</v>
      </c>
      <c r="F147" s="6" t="s">
        <v>16</v>
      </c>
      <c r="G147" s="6" t="s">
        <v>22</v>
      </c>
      <c r="H147" s="6" t="n">
        <v>178</v>
      </c>
    </row>
    <row r="148" customFormat="false" ht="15" hidden="false" customHeight="true" outlineLevel="0" collapsed="false">
      <c r="A148" s="6" t="n">
        <v>144</v>
      </c>
      <c r="B148" s="6" t="s">
        <v>12</v>
      </c>
      <c r="C148" s="6" t="s">
        <v>10</v>
      </c>
      <c r="D148" s="6" t="s">
        <v>7</v>
      </c>
      <c r="E148" s="6" t="s">
        <v>7</v>
      </c>
      <c r="F148" s="6" t="s">
        <v>16</v>
      </c>
      <c r="G148" s="6" t="s">
        <v>22</v>
      </c>
      <c r="H148" s="6" t="n">
        <v>179</v>
      </c>
    </row>
    <row r="149" customFormat="false" ht="15" hidden="false" customHeight="true" outlineLevel="0" collapsed="false">
      <c r="A149" s="6" t="n">
        <v>145</v>
      </c>
      <c r="B149" s="6" t="s">
        <v>12</v>
      </c>
      <c r="C149" s="6" t="s">
        <v>8</v>
      </c>
      <c r="D149" s="6" t="s">
        <v>7</v>
      </c>
      <c r="E149" s="6" t="s">
        <v>8</v>
      </c>
      <c r="F149" s="6" t="s">
        <v>16</v>
      </c>
      <c r="G149" s="6" t="s">
        <v>22</v>
      </c>
      <c r="H149" s="6" t="n">
        <v>180</v>
      </c>
    </row>
    <row r="150" customFormat="false" ht="15" hidden="false" customHeight="true" outlineLevel="0" collapsed="false">
      <c r="A150" s="6" t="n">
        <v>146</v>
      </c>
      <c r="B150" s="6" t="s">
        <v>12</v>
      </c>
      <c r="C150" s="6" t="s">
        <v>7</v>
      </c>
      <c r="D150" s="6" t="s">
        <v>7</v>
      </c>
      <c r="E150" s="6" t="s">
        <v>7</v>
      </c>
      <c r="F150" s="6" t="s">
        <v>16</v>
      </c>
      <c r="G150" s="6" t="s">
        <v>22</v>
      </c>
      <c r="H150" s="6" t="n">
        <v>182</v>
      </c>
    </row>
    <row r="151" customFormat="false" ht="15" hidden="false" customHeight="true" outlineLevel="0" collapsed="false">
      <c r="A151" s="6" t="n">
        <v>147</v>
      </c>
      <c r="B151" s="6" t="s">
        <v>12</v>
      </c>
      <c r="C151" s="6" t="s">
        <v>8</v>
      </c>
      <c r="D151" s="6" t="s">
        <v>7</v>
      </c>
      <c r="E151" s="6" t="s">
        <v>8</v>
      </c>
      <c r="F151" s="6" t="s">
        <v>16</v>
      </c>
      <c r="G151" s="6" t="s">
        <v>22</v>
      </c>
      <c r="H151" s="6" t="n">
        <v>183</v>
      </c>
    </row>
    <row r="152" customFormat="false" ht="15" hidden="false" customHeight="true" outlineLevel="0" collapsed="false">
      <c r="A152" s="6" t="n">
        <v>148</v>
      </c>
      <c r="B152" s="6" t="s">
        <v>12</v>
      </c>
      <c r="C152" s="6" t="s">
        <v>8</v>
      </c>
      <c r="D152" s="6" t="s">
        <v>7</v>
      </c>
      <c r="E152" s="6" t="s">
        <v>7</v>
      </c>
      <c r="F152" s="6" t="s">
        <v>16</v>
      </c>
      <c r="G152" s="6" t="s">
        <v>22</v>
      </c>
      <c r="H152" s="6" t="n">
        <v>185</v>
      </c>
    </row>
    <row r="153" customFormat="false" ht="15" hidden="false" customHeight="true" outlineLevel="0" collapsed="false">
      <c r="A153" s="6" t="n">
        <v>149</v>
      </c>
      <c r="B153" s="6" t="s">
        <v>12</v>
      </c>
      <c r="C153" s="6" t="s">
        <v>7</v>
      </c>
      <c r="D153" s="6" t="s">
        <v>8</v>
      </c>
      <c r="E153" s="6" t="s">
        <v>7</v>
      </c>
      <c r="F153" s="6" t="s">
        <v>16</v>
      </c>
      <c r="G153" s="6" t="s">
        <v>22</v>
      </c>
      <c r="H153" s="6" t="n">
        <v>186</v>
      </c>
    </row>
    <row r="154" customFormat="false" ht="15" hidden="false" customHeight="true" outlineLevel="0" collapsed="false">
      <c r="A154" s="6" t="n">
        <v>150</v>
      </c>
      <c r="B154" s="6" t="s">
        <v>12</v>
      </c>
      <c r="C154" s="6" t="s">
        <v>10</v>
      </c>
      <c r="D154" s="6" t="s">
        <v>8</v>
      </c>
      <c r="E154" s="6" t="s">
        <v>7</v>
      </c>
      <c r="F154" s="6" t="s">
        <v>16</v>
      </c>
      <c r="G154" s="6" t="s">
        <v>22</v>
      </c>
      <c r="H154" s="6" t="n">
        <v>187</v>
      </c>
    </row>
    <row r="155" customFormat="false" ht="15" hidden="false" customHeight="true" outlineLevel="0" collapsed="false">
      <c r="A155" s="6" t="n">
        <v>151</v>
      </c>
      <c r="B155" s="6" t="s">
        <v>12</v>
      </c>
      <c r="C155" s="6" t="s">
        <v>7</v>
      </c>
      <c r="D155" s="6" t="s">
        <v>8</v>
      </c>
      <c r="E155" s="6" t="s">
        <v>7</v>
      </c>
      <c r="F155" s="6" t="s">
        <v>16</v>
      </c>
      <c r="G155" s="6" t="s">
        <v>22</v>
      </c>
      <c r="H155" s="6" t="n">
        <v>189</v>
      </c>
    </row>
    <row r="156" customFormat="false" ht="15" hidden="false" customHeight="true" outlineLevel="0" collapsed="false">
      <c r="A156" s="6" t="n">
        <v>152</v>
      </c>
      <c r="B156" s="6" t="s">
        <v>12</v>
      </c>
      <c r="C156" s="6" t="s">
        <v>7</v>
      </c>
      <c r="D156" s="6" t="s">
        <v>7</v>
      </c>
      <c r="E156" s="6" t="s">
        <v>8</v>
      </c>
      <c r="F156" s="6" t="s">
        <v>16</v>
      </c>
      <c r="G156" s="6" t="s">
        <v>22</v>
      </c>
      <c r="H156" s="6" t="n">
        <v>190</v>
      </c>
    </row>
    <row r="157" customFormat="false" ht="15" hidden="false" customHeight="true" outlineLevel="0" collapsed="false">
      <c r="A157" s="6" t="n">
        <v>153</v>
      </c>
      <c r="B157" s="6" t="s">
        <v>12</v>
      </c>
      <c r="C157" s="6" t="s">
        <v>8</v>
      </c>
      <c r="D157" s="6" t="s">
        <v>7</v>
      </c>
      <c r="E157" s="6" t="s">
        <v>8</v>
      </c>
      <c r="F157" s="6" t="s">
        <v>16</v>
      </c>
      <c r="G157" s="6" t="s">
        <v>22</v>
      </c>
      <c r="H157" s="6" t="n">
        <v>191</v>
      </c>
    </row>
    <row r="158" customFormat="false" ht="15" hidden="false" customHeight="true" outlineLevel="0" collapsed="false">
      <c r="A158" s="6" t="n">
        <v>154</v>
      </c>
      <c r="B158" s="6" t="s">
        <v>12</v>
      </c>
      <c r="C158" s="6" t="s">
        <v>8</v>
      </c>
      <c r="D158" s="6" t="s">
        <v>8</v>
      </c>
      <c r="E158" s="6" t="s">
        <v>7</v>
      </c>
      <c r="F158" s="6" t="s">
        <v>16</v>
      </c>
      <c r="G158" s="6" t="s">
        <v>22</v>
      </c>
      <c r="H158" s="6" t="n">
        <v>193</v>
      </c>
    </row>
    <row r="159" customFormat="false" ht="15" hidden="false" customHeight="true" outlineLevel="0" collapsed="false">
      <c r="A159" s="6" t="n">
        <v>155</v>
      </c>
      <c r="B159" s="6" t="s">
        <v>12</v>
      </c>
      <c r="C159" s="6" t="s">
        <v>8</v>
      </c>
      <c r="D159" s="6" t="s">
        <v>7</v>
      </c>
      <c r="E159" s="6" t="s">
        <v>7</v>
      </c>
      <c r="F159" s="6" t="s">
        <v>16</v>
      </c>
      <c r="G159" s="6" t="s">
        <v>22</v>
      </c>
      <c r="H159" s="6" t="n">
        <v>195</v>
      </c>
    </row>
    <row r="160" customFormat="false" ht="15" hidden="false" customHeight="true" outlineLevel="0" collapsed="false">
      <c r="A160" s="6" t="n">
        <v>156</v>
      </c>
      <c r="B160" s="6" t="s">
        <v>12</v>
      </c>
      <c r="C160" s="6" t="s">
        <v>10</v>
      </c>
      <c r="D160" s="6" t="s">
        <v>7</v>
      </c>
      <c r="E160" s="6" t="s">
        <v>7</v>
      </c>
      <c r="F160" s="6" t="s">
        <v>16</v>
      </c>
      <c r="G160" s="6" t="s">
        <v>22</v>
      </c>
      <c r="H160" s="6" t="n">
        <v>196</v>
      </c>
    </row>
    <row r="161" customFormat="false" ht="15" hidden="false" customHeight="true" outlineLevel="0" collapsed="false">
      <c r="A161" s="6" t="n">
        <v>157</v>
      </c>
      <c r="B161" s="6" t="s">
        <v>12</v>
      </c>
      <c r="C161" s="6" t="s">
        <v>7</v>
      </c>
      <c r="D161" s="6" t="s">
        <v>7</v>
      </c>
      <c r="E161" s="6" t="s">
        <v>8</v>
      </c>
      <c r="F161" s="6" t="s">
        <v>16</v>
      </c>
      <c r="G161" s="6" t="s">
        <v>22</v>
      </c>
      <c r="H161" s="6" t="n">
        <v>197</v>
      </c>
    </row>
    <row r="162" customFormat="false" ht="15" hidden="false" customHeight="true" outlineLevel="0" collapsed="false">
      <c r="A162" s="6" t="n">
        <v>158</v>
      </c>
      <c r="B162" s="6" t="s">
        <v>12</v>
      </c>
      <c r="C162" s="6" t="s">
        <v>8</v>
      </c>
      <c r="D162" s="6" t="s">
        <v>7</v>
      </c>
      <c r="E162" s="6" t="s">
        <v>8</v>
      </c>
      <c r="F162" s="6" t="s">
        <v>16</v>
      </c>
      <c r="G162" s="6" t="s">
        <v>22</v>
      </c>
      <c r="H162" s="6" t="n">
        <v>198</v>
      </c>
    </row>
    <row r="163" customFormat="false" ht="15" hidden="false" customHeight="true" outlineLevel="0" collapsed="false">
      <c r="A163" s="6" t="n">
        <v>159</v>
      </c>
      <c r="B163" s="6" t="s">
        <v>12</v>
      </c>
      <c r="C163" s="6" t="s">
        <v>7</v>
      </c>
      <c r="D163" s="6" t="s">
        <v>8</v>
      </c>
      <c r="E163" s="6" t="s">
        <v>8</v>
      </c>
      <c r="F163" s="6" t="s">
        <v>16</v>
      </c>
      <c r="G163" s="6" t="s">
        <v>22</v>
      </c>
      <c r="H163" s="6" t="n">
        <v>199</v>
      </c>
    </row>
    <row r="164" customFormat="false" ht="15" hidden="false" customHeight="true" outlineLevel="0" collapsed="false">
      <c r="A164" s="6" t="n">
        <v>160</v>
      </c>
      <c r="B164" s="6" t="s">
        <v>12</v>
      </c>
      <c r="C164" s="6" t="s">
        <v>10</v>
      </c>
      <c r="D164" s="6" t="s">
        <v>7</v>
      </c>
      <c r="E164" s="6" t="s">
        <v>7</v>
      </c>
      <c r="F164" s="6" t="s">
        <v>16</v>
      </c>
      <c r="G164" s="6" t="s">
        <v>22</v>
      </c>
      <c r="H164" s="6" t="n">
        <v>200</v>
      </c>
    </row>
    <row r="165" customFormat="false" ht="15" hidden="false" customHeight="true" outlineLevel="0" collapsed="false">
      <c r="A165" s="7" t="n">
        <v>161</v>
      </c>
      <c r="B165" s="7" t="s">
        <v>6</v>
      </c>
      <c r="C165" s="7" t="s">
        <v>7</v>
      </c>
      <c r="D165" s="7" t="s">
        <v>7</v>
      </c>
      <c r="E165" s="7" t="s">
        <v>8</v>
      </c>
      <c r="F165" s="7" t="s">
        <v>9</v>
      </c>
      <c r="G165" s="7" t="s">
        <v>23</v>
      </c>
      <c r="H165" s="7" t="n">
        <v>1</v>
      </c>
    </row>
    <row r="166" customFormat="false" ht="15" hidden="false" customHeight="true" outlineLevel="0" collapsed="false">
      <c r="A166" s="7" t="n">
        <v>162</v>
      </c>
      <c r="B166" s="7" t="s">
        <v>11</v>
      </c>
      <c r="C166" s="7" t="s">
        <v>7</v>
      </c>
      <c r="D166" s="7" t="s">
        <v>8</v>
      </c>
      <c r="E166" s="7" t="s">
        <v>8</v>
      </c>
      <c r="F166" s="7" t="s">
        <v>9</v>
      </c>
      <c r="G166" s="7" t="s">
        <v>23</v>
      </c>
      <c r="H166" s="7" t="n">
        <v>8</v>
      </c>
    </row>
    <row r="167" customFormat="false" ht="15" hidden="false" customHeight="true" outlineLevel="0" collapsed="false">
      <c r="A167" s="7" t="n">
        <v>163</v>
      </c>
      <c r="B167" s="7" t="s">
        <v>11</v>
      </c>
      <c r="C167" s="7" t="s">
        <v>7</v>
      </c>
      <c r="D167" s="7" t="s">
        <v>7</v>
      </c>
      <c r="E167" s="7" t="s">
        <v>8</v>
      </c>
      <c r="F167" s="7" t="s">
        <v>9</v>
      </c>
      <c r="G167" s="7" t="s">
        <v>23</v>
      </c>
      <c r="H167" s="7" t="n">
        <v>11</v>
      </c>
    </row>
    <row r="168" customFormat="false" ht="15" hidden="false" customHeight="true" outlineLevel="0" collapsed="false">
      <c r="A168" s="7" t="n">
        <v>164</v>
      </c>
      <c r="B168" s="7" t="s">
        <v>11</v>
      </c>
      <c r="C168" s="7" t="s">
        <v>7</v>
      </c>
      <c r="D168" s="7" t="s">
        <v>7</v>
      </c>
      <c r="E168" s="7" t="s">
        <v>8</v>
      </c>
      <c r="F168" s="7" t="s">
        <v>9</v>
      </c>
      <c r="G168" s="7" t="s">
        <v>23</v>
      </c>
      <c r="H168" s="7" t="n">
        <v>12</v>
      </c>
    </row>
    <row r="169" customFormat="false" ht="15" hidden="false" customHeight="true" outlineLevel="0" collapsed="false">
      <c r="A169" s="7" t="n">
        <v>165</v>
      </c>
      <c r="B169" s="7" t="s">
        <v>12</v>
      </c>
      <c r="C169" s="7" t="s">
        <v>7</v>
      </c>
      <c r="D169" s="7" t="s">
        <v>7</v>
      </c>
      <c r="E169" s="7" t="s">
        <v>8</v>
      </c>
      <c r="F169" s="7" t="s">
        <v>9</v>
      </c>
      <c r="G169" s="7" t="s">
        <v>23</v>
      </c>
      <c r="H169" s="7" t="n">
        <v>19</v>
      </c>
    </row>
    <row r="170" customFormat="false" ht="15" hidden="false" customHeight="true" outlineLevel="0" collapsed="false">
      <c r="A170" s="7" t="n">
        <v>166</v>
      </c>
      <c r="B170" s="7" t="s">
        <v>12</v>
      </c>
      <c r="C170" s="7" t="s">
        <v>7</v>
      </c>
      <c r="D170" s="7" t="s">
        <v>8</v>
      </c>
      <c r="E170" s="7" t="s">
        <v>10</v>
      </c>
      <c r="F170" s="7" t="s">
        <v>13</v>
      </c>
      <c r="G170" s="7" t="s">
        <v>23</v>
      </c>
      <c r="H170" s="7" t="n">
        <v>30</v>
      </c>
    </row>
    <row r="171" customFormat="false" ht="15" hidden="false" customHeight="true" outlineLevel="0" collapsed="false">
      <c r="A171" s="7" t="n">
        <v>167</v>
      </c>
      <c r="B171" s="7" t="s">
        <v>12</v>
      </c>
      <c r="C171" s="7" t="s">
        <v>7</v>
      </c>
      <c r="D171" s="7" t="s">
        <v>7</v>
      </c>
      <c r="E171" s="7" t="s">
        <v>8</v>
      </c>
      <c r="F171" s="7" t="s">
        <v>13</v>
      </c>
      <c r="G171" s="7" t="s">
        <v>23</v>
      </c>
      <c r="H171" s="7" t="n">
        <v>37</v>
      </c>
    </row>
    <row r="172" customFormat="false" ht="15" hidden="false" customHeight="true" outlineLevel="0" collapsed="false">
      <c r="A172" s="7" t="n">
        <v>168</v>
      </c>
      <c r="B172" s="7" t="s">
        <v>12</v>
      </c>
      <c r="C172" s="7" t="s">
        <v>7</v>
      </c>
      <c r="D172" s="7" t="s">
        <v>7</v>
      </c>
      <c r="E172" s="7" t="s">
        <v>10</v>
      </c>
      <c r="F172" s="7" t="s">
        <v>13</v>
      </c>
      <c r="G172" s="7" t="s">
        <v>23</v>
      </c>
      <c r="H172" s="7" t="n">
        <v>39</v>
      </c>
    </row>
    <row r="173" customFormat="false" ht="15" hidden="false" customHeight="true" outlineLevel="0" collapsed="false">
      <c r="A173" s="7" t="n">
        <v>169</v>
      </c>
      <c r="B173" s="7" t="s">
        <v>6</v>
      </c>
      <c r="C173" s="7" t="s">
        <v>10</v>
      </c>
      <c r="D173" s="7" t="s">
        <v>7</v>
      </c>
      <c r="E173" s="7" t="s">
        <v>8</v>
      </c>
      <c r="F173" s="7" t="s">
        <v>14</v>
      </c>
      <c r="G173" s="7" t="s">
        <v>23</v>
      </c>
      <c r="H173" s="7" t="n">
        <v>40</v>
      </c>
    </row>
    <row r="174" customFormat="false" ht="15" hidden="false" customHeight="true" outlineLevel="0" collapsed="false">
      <c r="A174" s="7" t="n">
        <v>170</v>
      </c>
      <c r="B174" s="7" t="s">
        <v>6</v>
      </c>
      <c r="C174" s="7" t="s">
        <v>10</v>
      </c>
      <c r="D174" s="7" t="s">
        <v>7</v>
      </c>
      <c r="E174" s="7" t="s">
        <v>10</v>
      </c>
      <c r="F174" s="7" t="s">
        <v>14</v>
      </c>
      <c r="G174" s="7" t="s">
        <v>23</v>
      </c>
      <c r="H174" s="7" t="n">
        <v>42</v>
      </c>
    </row>
    <row r="175" customFormat="false" ht="15" hidden="false" customHeight="true" outlineLevel="0" collapsed="false">
      <c r="A175" s="7" t="n">
        <v>171</v>
      </c>
      <c r="B175" s="7" t="s">
        <v>11</v>
      </c>
      <c r="C175" s="7" t="s">
        <v>10</v>
      </c>
      <c r="D175" s="7" t="s">
        <v>7</v>
      </c>
      <c r="E175" s="7" t="s">
        <v>8</v>
      </c>
      <c r="F175" s="7" t="s">
        <v>14</v>
      </c>
      <c r="G175" s="7" t="s">
        <v>23</v>
      </c>
      <c r="H175" s="7" t="n">
        <v>44</v>
      </c>
    </row>
    <row r="176" customFormat="false" ht="15" hidden="false" customHeight="true" outlineLevel="0" collapsed="false">
      <c r="A176" s="7" t="n">
        <v>172</v>
      </c>
      <c r="B176" s="7" t="s">
        <v>6</v>
      </c>
      <c r="C176" s="7" t="s">
        <v>8</v>
      </c>
      <c r="D176" s="7" t="s">
        <v>7</v>
      </c>
      <c r="E176" s="7" t="s">
        <v>8</v>
      </c>
      <c r="F176" s="7" t="s">
        <v>15</v>
      </c>
      <c r="G176" s="7" t="s">
        <v>23</v>
      </c>
      <c r="H176" s="7" t="n">
        <v>62</v>
      </c>
    </row>
    <row r="177" customFormat="false" ht="15" hidden="false" customHeight="true" outlineLevel="0" collapsed="false">
      <c r="A177" s="7" t="n">
        <v>173</v>
      </c>
      <c r="B177" s="7" t="s">
        <v>11</v>
      </c>
      <c r="C177" s="7" t="s">
        <v>8</v>
      </c>
      <c r="D177" s="7" t="s">
        <v>7</v>
      </c>
      <c r="E177" s="7" t="s">
        <v>8</v>
      </c>
      <c r="F177" s="7" t="s">
        <v>15</v>
      </c>
      <c r="G177" s="7" t="s">
        <v>23</v>
      </c>
      <c r="H177" s="7" t="n">
        <v>68</v>
      </c>
    </row>
    <row r="178" customFormat="false" ht="15" hidden="false" customHeight="true" outlineLevel="0" collapsed="false">
      <c r="A178" s="7" t="n">
        <v>174</v>
      </c>
      <c r="B178" s="7" t="s">
        <v>11</v>
      </c>
      <c r="C178" s="7" t="s">
        <v>10</v>
      </c>
      <c r="D178" s="7" t="s">
        <v>8</v>
      </c>
      <c r="E178" s="7" t="s">
        <v>7</v>
      </c>
      <c r="F178" s="7" t="s">
        <v>15</v>
      </c>
      <c r="G178" s="7" t="s">
        <v>23</v>
      </c>
      <c r="H178" s="7" t="n">
        <v>70</v>
      </c>
    </row>
    <row r="179" customFormat="false" ht="15" hidden="false" customHeight="true" outlineLevel="0" collapsed="false">
      <c r="A179" s="7" t="n">
        <v>175</v>
      </c>
      <c r="B179" s="7" t="s">
        <v>11</v>
      </c>
      <c r="C179" s="7" t="s">
        <v>8</v>
      </c>
      <c r="D179" s="7" t="s">
        <v>8</v>
      </c>
      <c r="E179" s="7" t="s">
        <v>10</v>
      </c>
      <c r="F179" s="7" t="s">
        <v>15</v>
      </c>
      <c r="G179" s="7" t="s">
        <v>23</v>
      </c>
      <c r="H179" s="7" t="n">
        <v>77</v>
      </c>
    </row>
    <row r="180" customFormat="false" ht="15" hidden="false" customHeight="true" outlineLevel="0" collapsed="false">
      <c r="A180" s="7" t="n">
        <v>176</v>
      </c>
      <c r="B180" s="7" t="s">
        <v>11</v>
      </c>
      <c r="C180" s="7" t="s">
        <v>10</v>
      </c>
      <c r="D180" s="7" t="s">
        <v>8</v>
      </c>
      <c r="E180" s="7" t="s">
        <v>8</v>
      </c>
      <c r="F180" s="7" t="s">
        <v>15</v>
      </c>
      <c r="G180" s="7" t="s">
        <v>23</v>
      </c>
      <c r="H180" s="7" t="n">
        <v>78</v>
      </c>
    </row>
    <row r="181" customFormat="false" ht="15" hidden="false" customHeight="true" outlineLevel="0" collapsed="false">
      <c r="A181" s="7" t="n">
        <v>177</v>
      </c>
      <c r="B181" s="7" t="s">
        <v>12</v>
      </c>
      <c r="C181" s="7" t="s">
        <v>8</v>
      </c>
      <c r="D181" s="7" t="s">
        <v>8</v>
      </c>
      <c r="E181" s="7" t="s">
        <v>10</v>
      </c>
      <c r="F181" s="7" t="s">
        <v>15</v>
      </c>
      <c r="G181" s="7" t="s">
        <v>23</v>
      </c>
      <c r="H181" s="7" t="n">
        <v>84</v>
      </c>
    </row>
    <row r="182" customFormat="false" ht="15" hidden="false" customHeight="true" outlineLevel="0" collapsed="false">
      <c r="A182" s="7" t="n">
        <v>178</v>
      </c>
      <c r="B182" s="7" t="s">
        <v>12</v>
      </c>
      <c r="C182" s="7" t="s">
        <v>10</v>
      </c>
      <c r="D182" s="7" t="s">
        <v>8</v>
      </c>
      <c r="E182" s="7" t="s">
        <v>8</v>
      </c>
      <c r="F182" s="7" t="s">
        <v>15</v>
      </c>
      <c r="G182" s="7" t="s">
        <v>23</v>
      </c>
      <c r="H182" s="7" t="n">
        <v>87</v>
      </c>
    </row>
    <row r="183" customFormat="false" ht="15" hidden="false" customHeight="true" outlineLevel="0" collapsed="false">
      <c r="A183" s="7" t="n">
        <v>179</v>
      </c>
      <c r="B183" s="7" t="s">
        <v>12</v>
      </c>
      <c r="C183" s="7" t="s">
        <v>8</v>
      </c>
      <c r="D183" s="7" t="s">
        <v>7</v>
      </c>
      <c r="E183" s="7" t="s">
        <v>8</v>
      </c>
      <c r="F183" s="7" t="s">
        <v>15</v>
      </c>
      <c r="G183" s="7" t="s">
        <v>23</v>
      </c>
      <c r="H183" s="7" t="n">
        <v>91</v>
      </c>
    </row>
    <row r="184" customFormat="false" ht="15" hidden="false" customHeight="true" outlineLevel="0" collapsed="false">
      <c r="A184" s="7" t="n">
        <v>180</v>
      </c>
      <c r="B184" s="7" t="s">
        <v>12</v>
      </c>
      <c r="C184" s="7" t="s">
        <v>8</v>
      </c>
      <c r="D184" s="7" t="s">
        <v>8</v>
      </c>
      <c r="E184" s="7" t="s">
        <v>10</v>
      </c>
      <c r="F184" s="7" t="s">
        <v>15</v>
      </c>
      <c r="G184" s="7" t="s">
        <v>23</v>
      </c>
      <c r="H184" s="7" t="n">
        <v>94</v>
      </c>
    </row>
    <row r="185" customFormat="false" ht="15" hidden="false" customHeight="true" outlineLevel="0" collapsed="false">
      <c r="A185" s="7" t="n">
        <v>181</v>
      </c>
      <c r="B185" s="7" t="s">
        <v>12</v>
      </c>
      <c r="C185" s="7" t="s">
        <v>8</v>
      </c>
      <c r="D185" s="7" t="s">
        <v>8</v>
      </c>
      <c r="E185" s="7" t="s">
        <v>8</v>
      </c>
      <c r="F185" s="7" t="s">
        <v>15</v>
      </c>
      <c r="G185" s="7" t="s">
        <v>23</v>
      </c>
      <c r="H185" s="7" t="n">
        <v>98</v>
      </c>
    </row>
    <row r="186" customFormat="false" ht="15" hidden="false" customHeight="true" outlineLevel="0" collapsed="false">
      <c r="A186" s="7" t="n">
        <v>182</v>
      </c>
      <c r="B186" s="7" t="s">
        <v>12</v>
      </c>
      <c r="C186" s="7" t="s">
        <v>10</v>
      </c>
      <c r="D186" s="7" t="s">
        <v>8</v>
      </c>
      <c r="E186" s="7" t="s">
        <v>7</v>
      </c>
      <c r="F186" s="7" t="s">
        <v>15</v>
      </c>
      <c r="G186" s="7" t="s">
        <v>23</v>
      </c>
      <c r="H186" s="7" t="n">
        <v>100</v>
      </c>
    </row>
    <row r="187" customFormat="false" ht="15" hidden="false" customHeight="true" outlineLevel="0" collapsed="false">
      <c r="A187" s="7" t="n">
        <v>183</v>
      </c>
      <c r="B187" s="7" t="s">
        <v>6</v>
      </c>
      <c r="C187" s="7" t="s">
        <v>7</v>
      </c>
      <c r="D187" s="7" t="s">
        <v>8</v>
      </c>
      <c r="E187" s="7" t="s">
        <v>8</v>
      </c>
      <c r="F187" s="7" t="s">
        <v>16</v>
      </c>
      <c r="G187" s="7" t="s">
        <v>23</v>
      </c>
      <c r="H187" s="7" t="n">
        <v>111</v>
      </c>
    </row>
    <row r="188" customFormat="false" ht="15" hidden="false" customHeight="true" outlineLevel="0" collapsed="false">
      <c r="A188" s="7" t="n">
        <v>184</v>
      </c>
      <c r="B188" s="7" t="s">
        <v>6</v>
      </c>
      <c r="C188" s="7" t="s">
        <v>7</v>
      </c>
      <c r="D188" s="7" t="s">
        <v>8</v>
      </c>
      <c r="E188" s="7" t="s">
        <v>8</v>
      </c>
      <c r="F188" s="7" t="s">
        <v>16</v>
      </c>
      <c r="G188" s="7" t="s">
        <v>23</v>
      </c>
      <c r="H188" s="7" t="n">
        <v>112</v>
      </c>
    </row>
    <row r="189" customFormat="false" ht="15" hidden="false" customHeight="true" outlineLevel="0" collapsed="false">
      <c r="A189" s="7" t="n">
        <v>185</v>
      </c>
      <c r="B189" s="7" t="s">
        <v>6</v>
      </c>
      <c r="C189" s="7" t="s">
        <v>7</v>
      </c>
      <c r="D189" s="7" t="s">
        <v>8</v>
      </c>
      <c r="E189" s="7" t="s">
        <v>8</v>
      </c>
      <c r="F189" s="7" t="s">
        <v>16</v>
      </c>
      <c r="G189" s="7" t="s">
        <v>23</v>
      </c>
      <c r="H189" s="7" t="n">
        <v>124</v>
      </c>
    </row>
    <row r="190" customFormat="false" ht="15" hidden="false" customHeight="true" outlineLevel="0" collapsed="false">
      <c r="A190" s="7" t="n">
        <v>186</v>
      </c>
      <c r="B190" s="7" t="s">
        <v>11</v>
      </c>
      <c r="C190" s="7" t="s">
        <v>8</v>
      </c>
      <c r="D190" s="7" t="s">
        <v>7</v>
      </c>
      <c r="E190" s="7" t="s">
        <v>8</v>
      </c>
      <c r="F190" s="7" t="s">
        <v>16</v>
      </c>
      <c r="G190" s="7" t="s">
        <v>23</v>
      </c>
      <c r="H190" s="7" t="n">
        <v>130</v>
      </c>
    </row>
    <row r="191" customFormat="false" ht="15" hidden="false" customHeight="true" outlineLevel="0" collapsed="false">
      <c r="A191" s="7" t="n">
        <v>187</v>
      </c>
      <c r="B191" s="7" t="s">
        <v>11</v>
      </c>
      <c r="C191" s="7" t="s">
        <v>10</v>
      </c>
      <c r="D191" s="7" t="s">
        <v>7</v>
      </c>
      <c r="E191" s="7" t="s">
        <v>8</v>
      </c>
      <c r="F191" s="7" t="s">
        <v>16</v>
      </c>
      <c r="G191" s="7" t="s">
        <v>23</v>
      </c>
      <c r="H191" s="7" t="n">
        <v>131</v>
      </c>
    </row>
    <row r="192" customFormat="false" ht="15" hidden="false" customHeight="true" outlineLevel="0" collapsed="false">
      <c r="A192" s="7" t="n">
        <v>188</v>
      </c>
      <c r="B192" s="7" t="s">
        <v>11</v>
      </c>
      <c r="C192" s="7" t="s">
        <v>7</v>
      </c>
      <c r="D192" s="7" t="s">
        <v>7</v>
      </c>
      <c r="E192" s="7" t="s">
        <v>7</v>
      </c>
      <c r="F192" s="7" t="s">
        <v>16</v>
      </c>
      <c r="G192" s="7" t="s">
        <v>23</v>
      </c>
      <c r="H192" s="7" t="n">
        <v>133</v>
      </c>
    </row>
    <row r="193" customFormat="false" ht="15" hidden="false" customHeight="true" outlineLevel="0" collapsed="false">
      <c r="A193" s="7" t="n">
        <v>189</v>
      </c>
      <c r="B193" s="7" t="s">
        <v>11</v>
      </c>
      <c r="C193" s="7" t="s">
        <v>7</v>
      </c>
      <c r="D193" s="7" t="s">
        <v>8</v>
      </c>
      <c r="E193" s="7" t="s">
        <v>8</v>
      </c>
      <c r="F193" s="7" t="s">
        <v>16</v>
      </c>
      <c r="G193" s="7" t="s">
        <v>23</v>
      </c>
      <c r="H193" s="7" t="n">
        <v>139</v>
      </c>
    </row>
    <row r="194" customFormat="false" ht="15" hidden="false" customHeight="true" outlineLevel="0" collapsed="false">
      <c r="A194" s="7" t="n">
        <v>190</v>
      </c>
      <c r="B194" s="7" t="s">
        <v>11</v>
      </c>
      <c r="C194" s="7" t="s">
        <v>8</v>
      </c>
      <c r="D194" s="7" t="s">
        <v>7</v>
      </c>
      <c r="E194" s="7" t="s">
        <v>8</v>
      </c>
      <c r="F194" s="7" t="s">
        <v>16</v>
      </c>
      <c r="G194" s="7" t="s">
        <v>23</v>
      </c>
      <c r="H194" s="7" t="n">
        <v>147</v>
      </c>
    </row>
    <row r="195" customFormat="false" ht="15" hidden="false" customHeight="true" outlineLevel="0" collapsed="false">
      <c r="A195" s="7" t="n">
        <v>191</v>
      </c>
      <c r="B195" s="7" t="s">
        <v>12</v>
      </c>
      <c r="C195" s="7" t="s">
        <v>10</v>
      </c>
      <c r="D195" s="7" t="s">
        <v>8</v>
      </c>
      <c r="E195" s="7" t="s">
        <v>7</v>
      </c>
      <c r="F195" s="7" t="s">
        <v>16</v>
      </c>
      <c r="G195" s="7" t="s">
        <v>23</v>
      </c>
      <c r="H195" s="7" t="n">
        <v>161</v>
      </c>
    </row>
    <row r="196" customFormat="false" ht="15" hidden="false" customHeight="true" outlineLevel="0" collapsed="false">
      <c r="A196" s="7" t="n">
        <v>192</v>
      </c>
      <c r="B196" s="7" t="s">
        <v>12</v>
      </c>
      <c r="C196" s="7" t="s">
        <v>10</v>
      </c>
      <c r="D196" s="7" t="s">
        <v>8</v>
      </c>
      <c r="E196" s="7" t="s">
        <v>7</v>
      </c>
      <c r="F196" s="7" t="s">
        <v>16</v>
      </c>
      <c r="G196" s="7" t="s">
        <v>23</v>
      </c>
      <c r="H196" s="7" t="n">
        <v>162</v>
      </c>
    </row>
    <row r="197" customFormat="false" ht="15" hidden="false" customHeight="true" outlineLevel="0" collapsed="false">
      <c r="A197" s="7" t="n">
        <v>193</v>
      </c>
      <c r="B197" s="7" t="s">
        <v>12</v>
      </c>
      <c r="C197" s="7" t="s">
        <v>10</v>
      </c>
      <c r="D197" s="7" t="s">
        <v>8</v>
      </c>
      <c r="E197" s="7" t="s">
        <v>7</v>
      </c>
      <c r="F197" s="7" t="s">
        <v>16</v>
      </c>
      <c r="G197" s="7" t="s">
        <v>23</v>
      </c>
      <c r="H197" s="7" t="n">
        <v>169</v>
      </c>
    </row>
    <row r="198" customFormat="false" ht="15" hidden="false" customHeight="true" outlineLevel="0" collapsed="false">
      <c r="A198" s="7" t="n">
        <v>194</v>
      </c>
      <c r="B198" s="7" t="s">
        <v>12</v>
      </c>
      <c r="C198" s="7" t="s">
        <v>10</v>
      </c>
      <c r="D198" s="7" t="s">
        <v>7</v>
      </c>
      <c r="E198" s="7" t="s">
        <v>7</v>
      </c>
      <c r="F198" s="7" t="s">
        <v>16</v>
      </c>
      <c r="G198" s="7" t="s">
        <v>23</v>
      </c>
      <c r="H198" s="7" t="n">
        <v>170</v>
      </c>
    </row>
    <row r="199" customFormat="false" ht="15" hidden="false" customHeight="true" outlineLevel="0" collapsed="false">
      <c r="A199" s="7" t="n">
        <v>195</v>
      </c>
      <c r="B199" s="7" t="s">
        <v>12</v>
      </c>
      <c r="C199" s="7" t="s">
        <v>7</v>
      </c>
      <c r="D199" s="7" t="s">
        <v>7</v>
      </c>
      <c r="E199" s="7" t="s">
        <v>7</v>
      </c>
      <c r="F199" s="7" t="s">
        <v>16</v>
      </c>
      <c r="G199" s="7" t="s">
        <v>23</v>
      </c>
      <c r="H199" s="7" t="n">
        <v>173</v>
      </c>
    </row>
    <row r="200" customFormat="false" ht="15" hidden="false" customHeight="true" outlineLevel="0" collapsed="false">
      <c r="A200" s="7" t="n">
        <v>196</v>
      </c>
      <c r="B200" s="7" t="s">
        <v>12</v>
      </c>
      <c r="C200" s="7" t="s">
        <v>10</v>
      </c>
      <c r="D200" s="7" t="s">
        <v>7</v>
      </c>
      <c r="E200" s="7" t="s">
        <v>8</v>
      </c>
      <c r="F200" s="7" t="s">
        <v>16</v>
      </c>
      <c r="G200" s="7" t="s">
        <v>23</v>
      </c>
      <c r="H200" s="7" t="n">
        <v>181</v>
      </c>
    </row>
    <row r="201" customFormat="false" ht="15" hidden="false" customHeight="true" outlineLevel="0" collapsed="false">
      <c r="A201" s="7" t="n">
        <v>197</v>
      </c>
      <c r="B201" s="7" t="s">
        <v>12</v>
      </c>
      <c r="C201" s="7" t="s">
        <v>10</v>
      </c>
      <c r="D201" s="7" t="s">
        <v>8</v>
      </c>
      <c r="E201" s="7" t="s">
        <v>7</v>
      </c>
      <c r="F201" s="7" t="s">
        <v>16</v>
      </c>
      <c r="G201" s="7" t="s">
        <v>23</v>
      </c>
      <c r="H201" s="7" t="n">
        <v>184</v>
      </c>
    </row>
    <row r="202" customFormat="false" ht="15" hidden="false" customHeight="true" outlineLevel="0" collapsed="false">
      <c r="A202" s="7" t="n">
        <v>198</v>
      </c>
      <c r="B202" s="7" t="s">
        <v>12</v>
      </c>
      <c r="C202" s="7" t="s">
        <v>7</v>
      </c>
      <c r="D202" s="7" t="s">
        <v>8</v>
      </c>
      <c r="E202" s="7" t="s">
        <v>7</v>
      </c>
      <c r="F202" s="7" t="s">
        <v>16</v>
      </c>
      <c r="G202" s="7" t="s">
        <v>23</v>
      </c>
      <c r="H202" s="7" t="n">
        <v>188</v>
      </c>
    </row>
    <row r="203" customFormat="false" ht="15" hidden="false" customHeight="true" outlineLevel="0" collapsed="false">
      <c r="A203" s="7" t="n">
        <v>199</v>
      </c>
      <c r="B203" s="7" t="s">
        <v>12</v>
      </c>
      <c r="C203" s="7" t="s">
        <v>10</v>
      </c>
      <c r="D203" s="7" t="s">
        <v>8</v>
      </c>
      <c r="E203" s="7" t="s">
        <v>7</v>
      </c>
      <c r="F203" s="7" t="s">
        <v>16</v>
      </c>
      <c r="G203" s="7" t="s">
        <v>23</v>
      </c>
      <c r="H203" s="7" t="n">
        <v>192</v>
      </c>
    </row>
    <row r="204" customFormat="false" ht="15" hidden="false" customHeight="true" outlineLevel="0" collapsed="false">
      <c r="A204" s="7" t="n">
        <v>200</v>
      </c>
      <c r="B204" s="7" t="s">
        <v>12</v>
      </c>
      <c r="C204" s="7" t="s">
        <v>10</v>
      </c>
      <c r="D204" s="7" t="s">
        <v>7</v>
      </c>
      <c r="E204" s="7" t="s">
        <v>8</v>
      </c>
      <c r="F204" s="7" t="s">
        <v>16</v>
      </c>
      <c r="G204" s="7" t="s">
        <v>23</v>
      </c>
      <c r="H204" s="7" t="n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0"/>
  </cols>
  <sheetData>
    <row r="1" customFormat="false" ht="15.75" hidden="false" customHeight="true" outlineLevel="0" collapsed="false">
      <c r="A1" s="2" t="s">
        <v>24</v>
      </c>
    </row>
    <row r="2" customFormat="false" ht="15" hidden="false" customHeight="true" outlineLevel="0" collapsed="false">
      <c r="A2" s="5" t="s">
        <v>25</v>
      </c>
    </row>
    <row r="3" customFormat="false" ht="15" hidden="false" customHeight="true" outlineLevel="0" collapsed="false">
      <c r="A3" s="8" t="s">
        <v>26</v>
      </c>
    </row>
    <row r="4" customFormat="false" ht="15" hidden="false" customHeight="true" outlineLevel="0" collapsed="false">
      <c r="A4" s="3" t="s">
        <v>27</v>
      </c>
      <c r="B4" s="3" t="s">
        <v>28</v>
      </c>
      <c r="C4" s="3" t="s">
        <v>29</v>
      </c>
    </row>
    <row r="5" customFormat="false" ht="15" hidden="false" customHeight="true" outlineLevel="0" collapsed="false">
      <c r="A5" s="4" t="s">
        <v>9</v>
      </c>
      <c r="B5" s="4" t="n">
        <f aca="false">COUNTIF('Splitting Data'!$F$5:$F$164,A5)</f>
        <v>18</v>
      </c>
      <c r="C5" s="4" t="n">
        <f aca="false">B5/$B$10</f>
        <v>0.1125</v>
      </c>
    </row>
    <row r="6" customFormat="false" ht="15" hidden="false" customHeight="true" outlineLevel="0" collapsed="false">
      <c r="A6" s="4" t="s">
        <v>13</v>
      </c>
      <c r="B6" s="4" t="n">
        <f aca="false">COUNTIF('Splitting Data'!$F$5:$F$164,A6)</f>
        <v>13</v>
      </c>
      <c r="C6" s="4" t="n">
        <f aca="false">B6/$B$10</f>
        <v>0.08125</v>
      </c>
    </row>
    <row r="7" customFormat="false" ht="15" hidden="false" customHeight="true" outlineLevel="0" collapsed="false">
      <c r="A7" s="4" t="s">
        <v>14</v>
      </c>
      <c r="B7" s="4" t="n">
        <f aca="false">COUNTIF('Splitting Data'!$F$5:$F$164,A7)</f>
        <v>13</v>
      </c>
      <c r="C7" s="4" t="n">
        <f aca="false">B7/$B$10</f>
        <v>0.08125</v>
      </c>
    </row>
    <row r="8" customFormat="false" ht="15" hidden="false" customHeight="true" outlineLevel="0" collapsed="false">
      <c r="A8" s="4" t="s">
        <v>15</v>
      </c>
      <c r="B8" s="4" t="n">
        <f aca="false">COUNTIF('Splitting Data'!$F$5:$F$164,A8)</f>
        <v>43</v>
      </c>
      <c r="C8" s="4" t="n">
        <f aca="false">B8/$B$10</f>
        <v>0.26875</v>
      </c>
    </row>
    <row r="9" customFormat="false" ht="15" hidden="false" customHeight="true" outlineLevel="0" collapsed="false">
      <c r="A9" s="4" t="s">
        <v>16</v>
      </c>
      <c r="B9" s="4" t="n">
        <f aca="false">COUNTIF('Splitting Data'!$F$5:$F$164,A9)</f>
        <v>73</v>
      </c>
      <c r="C9" s="4" t="n">
        <f aca="false">B9/$B$10</f>
        <v>0.45625</v>
      </c>
    </row>
    <row r="10" customFormat="false" ht="15" hidden="false" customHeight="true" outlineLevel="0" collapsed="false">
      <c r="A10" s="4" t="s">
        <v>30</v>
      </c>
      <c r="B10" s="4" t="n">
        <f aca="false">SUM(B5:B9)</f>
        <v>160</v>
      </c>
      <c r="C10" s="4" t="n">
        <f aca="false">SUM(C5:C9)</f>
        <v>1</v>
      </c>
    </row>
    <row r="13" customFormat="false" ht="15" hidden="false" customHeight="true" outlineLevel="0" collapsed="false">
      <c r="A13" s="8" t="s">
        <v>31</v>
      </c>
    </row>
    <row r="14" customFormat="false" ht="15" hidden="false" customHeight="true" outlineLevel="0" collapsed="false">
      <c r="A14" s="3" t="s">
        <v>27</v>
      </c>
      <c r="B14" s="3" t="s">
        <v>6</v>
      </c>
      <c r="C14" s="3" t="s">
        <v>11</v>
      </c>
      <c r="D14" s="3" t="s">
        <v>12</v>
      </c>
      <c r="E14" s="3" t="s">
        <v>30</v>
      </c>
    </row>
    <row r="15" customFormat="false" ht="15" hidden="false" customHeight="true" outlineLevel="0" collapsed="false">
      <c r="A15" s="4" t="s">
        <v>9</v>
      </c>
      <c r="B15" s="4" t="n">
        <f aca="false">COUNTIFS('Splitting Data'!$F$5:$F$164,$A15,'Splitting Data'!$B$5:$B$164,B$14)</f>
        <v>3</v>
      </c>
      <c r="C15" s="4" t="n">
        <f aca="false">COUNTIFS('Splitting Data'!$F$5:$F$164,$A15,'Splitting Data'!$B$5:$B$164,C$14)</f>
        <v>10</v>
      </c>
      <c r="D15" s="4" t="n">
        <f aca="false">COUNTIFS('Splitting Data'!$F$5:$F$164,$A15,'Splitting Data'!$B$5:$B$164,D$14)</f>
        <v>5</v>
      </c>
      <c r="E15" s="4" t="n">
        <f aca="false">SUM(B15:D15)</f>
        <v>18</v>
      </c>
    </row>
    <row r="16" customFormat="false" ht="15" hidden="false" customHeight="true" outlineLevel="0" collapsed="false">
      <c r="A16" s="4" t="s">
        <v>13</v>
      </c>
      <c r="B16" s="4" t="n">
        <f aca="false">COUNTIFS('Splitting Data'!$F$5:$F$164,$A16,'Splitting Data'!$B$5:$B$164,B$14)</f>
        <v>0</v>
      </c>
      <c r="C16" s="4" t="n">
        <f aca="false">COUNTIFS('Splitting Data'!$F$5:$F$164,$A16,'Splitting Data'!$B$5:$B$164,C$14)</f>
        <v>0</v>
      </c>
      <c r="D16" s="4" t="n">
        <f aca="false">COUNTIFS('Splitting Data'!$F$5:$F$164,$A16,'Splitting Data'!$B$5:$B$164,D$14)</f>
        <v>13</v>
      </c>
      <c r="E16" s="4" t="n">
        <f aca="false">SUM(B16:D16)</f>
        <v>13</v>
      </c>
    </row>
    <row r="17" customFormat="false" ht="15" hidden="false" customHeight="true" outlineLevel="0" collapsed="false">
      <c r="A17" s="4" t="s">
        <v>14</v>
      </c>
      <c r="B17" s="4" t="n">
        <f aca="false">COUNTIFS('Splitting Data'!$F$5:$F$164,$A17,'Splitting Data'!$B$5:$B$164,B$14)</f>
        <v>1</v>
      </c>
      <c r="C17" s="4" t="n">
        <f aca="false">COUNTIFS('Splitting Data'!$F$5:$F$164,$A17,'Splitting Data'!$B$5:$B$164,C$14)</f>
        <v>3</v>
      </c>
      <c r="D17" s="4" t="n">
        <f aca="false">COUNTIFS('Splitting Data'!$F$5:$F$164,$A17,'Splitting Data'!$B$5:$B$164,D$14)</f>
        <v>9</v>
      </c>
      <c r="E17" s="4" t="n">
        <f aca="false">SUM(B17:D17)</f>
        <v>13</v>
      </c>
    </row>
    <row r="18" customFormat="false" ht="15" hidden="false" customHeight="true" outlineLevel="0" collapsed="false">
      <c r="A18" s="4" t="s">
        <v>15</v>
      </c>
      <c r="B18" s="4" t="n">
        <f aca="false">COUNTIFS('Splitting Data'!$F$5:$F$164,$A18,'Splitting Data'!$B$5:$B$164,B$14)</f>
        <v>9</v>
      </c>
      <c r="C18" s="4" t="n">
        <f aca="false">COUNTIFS('Splitting Data'!$F$5:$F$164,$A18,'Splitting Data'!$B$5:$B$164,C$14)</f>
        <v>12</v>
      </c>
      <c r="D18" s="4" t="n">
        <f aca="false">COUNTIFS('Splitting Data'!$F$5:$F$164,$A18,'Splitting Data'!$B$5:$B$164,D$14)</f>
        <v>22</v>
      </c>
      <c r="E18" s="4" t="n">
        <f aca="false">SUM(B18:D18)</f>
        <v>43</v>
      </c>
    </row>
    <row r="19" customFormat="false" ht="15" hidden="false" customHeight="true" outlineLevel="0" collapsed="false">
      <c r="A19" s="4" t="s">
        <v>16</v>
      </c>
      <c r="B19" s="4" t="n">
        <f aca="false">COUNTIFS('Splitting Data'!$F$5:$F$164,$A19,'Splitting Data'!$B$5:$B$164,B$14)</f>
        <v>13</v>
      </c>
      <c r="C19" s="4" t="n">
        <f aca="false">COUNTIFS('Splitting Data'!$F$5:$F$164,$A19,'Splitting Data'!$B$5:$B$164,C$14)</f>
        <v>28</v>
      </c>
      <c r="D19" s="4" t="n">
        <f aca="false">COUNTIFS('Splitting Data'!$F$5:$F$164,$A19,'Splitting Data'!$B$5:$B$164,D$14)</f>
        <v>32</v>
      </c>
      <c r="E19" s="4" t="n">
        <f aca="false">SUM(B19:D19)</f>
        <v>73</v>
      </c>
    </row>
    <row r="20" customFormat="false" ht="15" hidden="false" customHeight="true" outlineLevel="0" collapsed="false">
      <c r="A20" s="4" t="s">
        <v>30</v>
      </c>
      <c r="B20" s="4" t="n">
        <f aca="false">SUM(B15:B19)</f>
        <v>26</v>
      </c>
      <c r="C20" s="4" t="n">
        <f aca="false">SUM(C15:C19)</f>
        <v>53</v>
      </c>
      <c r="D20" s="4" t="n">
        <f aca="false">SUM(D15:D19)</f>
        <v>81</v>
      </c>
      <c r="E20" s="4" t="n">
        <f aca="false">SUM(E15:E19)</f>
        <v>160</v>
      </c>
    </row>
    <row r="22" customFormat="false" ht="15" hidden="false" customHeight="true" outlineLevel="0" collapsed="false">
      <c r="A22" s="8" t="s">
        <v>32</v>
      </c>
    </row>
    <row r="23" customFormat="false" ht="15" hidden="false" customHeight="true" outlineLevel="0" collapsed="false">
      <c r="A23" s="3" t="s">
        <v>27</v>
      </c>
      <c r="B23" s="3" t="s">
        <v>6</v>
      </c>
      <c r="C23" s="3" t="s">
        <v>11</v>
      </c>
      <c r="D23" s="3" t="s">
        <v>12</v>
      </c>
    </row>
    <row r="24" customFormat="false" ht="15" hidden="false" customHeight="true" outlineLevel="0" collapsed="false">
      <c r="A24" s="4" t="s">
        <v>9</v>
      </c>
      <c r="B24" s="4" t="n">
        <f aca="false">B15/E15</f>
        <v>0.166666666666667</v>
      </c>
      <c r="C24" s="4" t="n">
        <f aca="false">C15/E15</f>
        <v>0.555555555555556</v>
      </c>
      <c r="D24" s="4" t="n">
        <f aca="false">D15/E15</f>
        <v>0.277777777777778</v>
      </c>
    </row>
    <row r="25" customFormat="false" ht="15" hidden="false" customHeight="true" outlineLevel="0" collapsed="false">
      <c r="A25" s="4" t="s">
        <v>13</v>
      </c>
      <c r="B25" s="4" t="n">
        <f aca="false">B16/E16</f>
        <v>0</v>
      </c>
      <c r="C25" s="4" t="n">
        <f aca="false">C16/E16</f>
        <v>0</v>
      </c>
      <c r="D25" s="4" t="n">
        <f aca="false">D16/E16</f>
        <v>1</v>
      </c>
    </row>
    <row r="26" customFormat="false" ht="15" hidden="false" customHeight="true" outlineLevel="0" collapsed="false">
      <c r="A26" s="4" t="s">
        <v>14</v>
      </c>
      <c r="B26" s="4" t="n">
        <f aca="false">B17/E17</f>
        <v>0.0769230769230769</v>
      </c>
      <c r="C26" s="4" t="n">
        <f aca="false">C17/E17</f>
        <v>0.230769230769231</v>
      </c>
      <c r="D26" s="4" t="n">
        <f aca="false">D17/E17</f>
        <v>0.692307692307692</v>
      </c>
    </row>
    <row r="27" customFormat="false" ht="15" hidden="false" customHeight="true" outlineLevel="0" collapsed="false">
      <c r="A27" s="4" t="s">
        <v>15</v>
      </c>
      <c r="B27" s="4" t="n">
        <f aca="false">B18/E18</f>
        <v>0.209302325581395</v>
      </c>
      <c r="C27" s="4" t="n">
        <f aca="false">C18/E18</f>
        <v>0.27906976744186</v>
      </c>
      <c r="D27" s="4" t="n">
        <f aca="false">D18/E18</f>
        <v>0.511627906976744</v>
      </c>
    </row>
    <row r="28" customFormat="false" ht="15" hidden="false" customHeight="true" outlineLevel="0" collapsed="false">
      <c r="A28" s="4" t="s">
        <v>16</v>
      </c>
      <c r="B28" s="4" t="n">
        <f aca="false">B19/E19</f>
        <v>0.178082191780822</v>
      </c>
      <c r="C28" s="4" t="n">
        <f aca="false">C19/E19</f>
        <v>0.383561643835616</v>
      </c>
      <c r="D28" s="4" t="n">
        <f aca="false">D19/E19</f>
        <v>0.438356164383562</v>
      </c>
    </row>
    <row r="31" customFormat="false" ht="15" hidden="false" customHeight="true" outlineLevel="0" collapsed="false">
      <c r="A31" s="8" t="s">
        <v>33</v>
      </c>
    </row>
    <row r="32" customFormat="false" ht="15" hidden="false" customHeight="true" outlineLevel="0" collapsed="false">
      <c r="A32" s="3" t="s">
        <v>27</v>
      </c>
      <c r="B32" s="3" t="s">
        <v>7</v>
      </c>
      <c r="C32" s="3" t="s">
        <v>10</v>
      </c>
      <c r="D32" s="3" t="s">
        <v>8</v>
      </c>
      <c r="E32" s="3" t="s">
        <v>30</v>
      </c>
    </row>
    <row r="33" customFormat="false" ht="15" hidden="false" customHeight="true" outlineLevel="0" collapsed="false">
      <c r="A33" s="4" t="s">
        <v>9</v>
      </c>
      <c r="B33" s="4" t="n">
        <f aca="false">COUNTIFS('Splitting Data'!$F$5:$F$164,$A33,'Splitting Data'!$C$5:$C$164,B$32)</f>
        <v>18</v>
      </c>
      <c r="C33" s="4" t="n">
        <f aca="false">COUNTIFS('Splitting Data'!$F$5:$F$164,$A33,'Splitting Data'!$C$5:$C$164,C$32)</f>
        <v>0</v>
      </c>
      <c r="D33" s="4" t="n">
        <f aca="false">COUNTIFS('Splitting Data'!$F$5:$F$164,$A33,'Splitting Data'!$C$5:$C$164,D$32)</f>
        <v>0</v>
      </c>
      <c r="E33" s="4" t="n">
        <f aca="false">SUM(B33:D33)</f>
        <v>18</v>
      </c>
    </row>
    <row r="34" customFormat="false" ht="15" hidden="false" customHeight="true" outlineLevel="0" collapsed="false">
      <c r="A34" s="4" t="s">
        <v>13</v>
      </c>
      <c r="B34" s="4" t="n">
        <f aca="false">COUNTIFS('Splitting Data'!$F$5:$F$164,$A34,'Splitting Data'!$C$5:$C$164,B$32)</f>
        <v>13</v>
      </c>
      <c r="C34" s="4" t="n">
        <f aca="false">COUNTIFS('Splitting Data'!$F$5:$F$164,$A34,'Splitting Data'!$C$5:$C$164,C$32)</f>
        <v>0</v>
      </c>
      <c r="D34" s="4" t="n">
        <f aca="false">COUNTIFS('Splitting Data'!$F$5:$F$164,$A34,'Splitting Data'!$C$5:$C$164,D$32)</f>
        <v>0</v>
      </c>
      <c r="E34" s="4" t="n">
        <f aca="false">SUM(B34:D34)</f>
        <v>13</v>
      </c>
    </row>
    <row r="35" customFormat="false" ht="15" hidden="false" customHeight="true" outlineLevel="0" collapsed="false">
      <c r="A35" s="4" t="s">
        <v>14</v>
      </c>
      <c r="B35" s="4" t="n">
        <f aca="false">COUNTIFS('Splitting Data'!$F$5:$F$164,$A35,'Splitting Data'!$C$5:$C$164,B$32)</f>
        <v>0</v>
      </c>
      <c r="C35" s="4" t="n">
        <f aca="false">COUNTIFS('Splitting Data'!$F$5:$F$164,$A35,'Splitting Data'!$C$5:$C$164,C$32)</f>
        <v>13</v>
      </c>
      <c r="D35" s="4" t="n">
        <f aca="false">COUNTIFS('Splitting Data'!$F$5:$F$164,$A35,'Splitting Data'!$C$5:$C$164,D$32)</f>
        <v>0</v>
      </c>
      <c r="E35" s="4" t="n">
        <f aca="false">SUM(B35:D35)</f>
        <v>13</v>
      </c>
    </row>
    <row r="36" customFormat="false" ht="15" hidden="false" customHeight="true" outlineLevel="0" collapsed="false">
      <c r="A36" s="4" t="s">
        <v>15</v>
      </c>
      <c r="B36" s="4" t="n">
        <f aca="false">COUNTIFS('Splitting Data'!$F$5:$F$164,$A36,'Splitting Data'!$C$5:$C$164,B$32)</f>
        <v>0</v>
      </c>
      <c r="C36" s="4" t="n">
        <f aca="false">COUNTIFS('Splitting Data'!$F$5:$F$164,$A36,'Splitting Data'!$C$5:$C$164,C$32)</f>
        <v>14</v>
      </c>
      <c r="D36" s="4" t="n">
        <f aca="false">COUNTIFS('Splitting Data'!$F$5:$F$164,$A36,'Splitting Data'!$C$5:$C$164,D$32)</f>
        <v>29</v>
      </c>
      <c r="E36" s="4" t="n">
        <f aca="false">SUM(B36:D36)</f>
        <v>43</v>
      </c>
    </row>
    <row r="37" customFormat="false" ht="15" hidden="false" customHeight="true" outlineLevel="0" collapsed="false">
      <c r="A37" s="4" t="s">
        <v>16</v>
      </c>
      <c r="B37" s="4" t="n">
        <f aca="false">COUNTIFS('Splitting Data'!$F$5:$F$164,$A37,'Splitting Data'!$C$5:$C$164,B$32)</f>
        <v>31</v>
      </c>
      <c r="C37" s="4" t="n">
        <f aca="false">COUNTIFS('Splitting Data'!$F$5:$F$164,$A37,'Splitting Data'!$C$5:$C$164,C$32)</f>
        <v>21</v>
      </c>
      <c r="D37" s="4" t="n">
        <f aca="false">COUNTIFS('Splitting Data'!$F$5:$F$164,$A37,'Splitting Data'!$C$5:$C$164,D$32)</f>
        <v>21</v>
      </c>
      <c r="E37" s="4" t="n">
        <f aca="false">SUM(B37:D37)</f>
        <v>73</v>
      </c>
    </row>
    <row r="38" customFormat="false" ht="15" hidden="false" customHeight="true" outlineLevel="0" collapsed="false">
      <c r="A38" s="4" t="s">
        <v>30</v>
      </c>
      <c r="B38" s="4" t="n">
        <f aca="false">SUM(B33:B37)</f>
        <v>62</v>
      </c>
      <c r="C38" s="4" t="n">
        <f aca="false">SUM(C33:C37)</f>
        <v>48</v>
      </c>
      <c r="D38" s="4" t="n">
        <f aca="false">SUM(D33:D37)</f>
        <v>50</v>
      </c>
      <c r="E38" s="4" t="n">
        <f aca="false">SUM(E33:E37)</f>
        <v>160</v>
      </c>
    </row>
    <row r="40" customFormat="false" ht="15" hidden="false" customHeight="true" outlineLevel="0" collapsed="false">
      <c r="A40" s="8" t="s">
        <v>34</v>
      </c>
    </row>
    <row r="41" customFormat="false" ht="15" hidden="false" customHeight="true" outlineLevel="0" collapsed="false">
      <c r="A41" s="3" t="s">
        <v>27</v>
      </c>
      <c r="B41" s="3" t="s">
        <v>7</v>
      </c>
      <c r="C41" s="3" t="s">
        <v>10</v>
      </c>
      <c r="D41" s="3" t="s">
        <v>8</v>
      </c>
    </row>
    <row r="42" customFormat="false" ht="15" hidden="false" customHeight="true" outlineLevel="0" collapsed="false">
      <c r="A42" s="4" t="s">
        <v>9</v>
      </c>
      <c r="B42" s="4" t="n">
        <f aca="false">B33/E33</f>
        <v>1</v>
      </c>
      <c r="C42" s="4" t="n">
        <f aca="false">C33/E33</f>
        <v>0</v>
      </c>
      <c r="D42" s="4" t="n">
        <f aca="false">D33/E33</f>
        <v>0</v>
      </c>
    </row>
    <row r="43" customFormat="false" ht="15" hidden="false" customHeight="true" outlineLevel="0" collapsed="false">
      <c r="A43" s="4" t="s">
        <v>13</v>
      </c>
      <c r="B43" s="4" t="n">
        <f aca="false">B34/E34</f>
        <v>1</v>
      </c>
      <c r="C43" s="4" t="n">
        <f aca="false">C34/E34</f>
        <v>0</v>
      </c>
      <c r="D43" s="4" t="n">
        <f aca="false">D34/E34</f>
        <v>0</v>
      </c>
    </row>
    <row r="44" customFormat="false" ht="15" hidden="false" customHeight="true" outlineLevel="0" collapsed="false">
      <c r="A44" s="4" t="s">
        <v>14</v>
      </c>
      <c r="B44" s="4" t="n">
        <f aca="false">B35/E35</f>
        <v>0</v>
      </c>
      <c r="C44" s="4" t="n">
        <f aca="false">C35/E35</f>
        <v>1</v>
      </c>
      <c r="D44" s="4" t="n">
        <f aca="false">D35/E35</f>
        <v>0</v>
      </c>
    </row>
    <row r="45" customFormat="false" ht="15" hidden="false" customHeight="true" outlineLevel="0" collapsed="false">
      <c r="A45" s="4" t="s">
        <v>15</v>
      </c>
      <c r="B45" s="4" t="n">
        <f aca="false">B36/E36</f>
        <v>0</v>
      </c>
      <c r="C45" s="4" t="n">
        <f aca="false">C36/E36</f>
        <v>0.325581395348837</v>
      </c>
      <c r="D45" s="4" t="n">
        <f aca="false">D36/E36</f>
        <v>0.674418604651163</v>
      </c>
    </row>
    <row r="46" customFormat="false" ht="15" hidden="false" customHeight="true" outlineLevel="0" collapsed="false">
      <c r="A46" s="4" t="s">
        <v>16</v>
      </c>
      <c r="B46" s="4" t="n">
        <f aca="false">B37/E37</f>
        <v>0.424657534246575</v>
      </c>
      <c r="C46" s="4" t="n">
        <f aca="false">C37/E37</f>
        <v>0.287671232876712</v>
      </c>
      <c r="D46" s="4" t="n">
        <f aca="false">D37/E37</f>
        <v>0.287671232876712</v>
      </c>
    </row>
    <row r="49" customFormat="false" ht="15" hidden="false" customHeight="true" outlineLevel="0" collapsed="false">
      <c r="A49" s="8" t="s">
        <v>35</v>
      </c>
    </row>
    <row r="50" customFormat="false" ht="15" hidden="false" customHeight="true" outlineLevel="0" collapsed="false">
      <c r="A50" s="3" t="s">
        <v>27</v>
      </c>
      <c r="B50" s="3" t="s">
        <v>7</v>
      </c>
      <c r="C50" s="3" t="s">
        <v>8</v>
      </c>
      <c r="D50" s="3" t="s">
        <v>30</v>
      </c>
    </row>
    <row r="51" customFormat="false" ht="15" hidden="false" customHeight="true" outlineLevel="0" collapsed="false">
      <c r="A51" s="4" t="s">
        <v>9</v>
      </c>
      <c r="B51" s="4" t="n">
        <f aca="false">COUNTIFS('Splitting Data'!$F$5:$F$164,$A51,'Splitting Data'!$D$5:$D$164,B$50)</f>
        <v>8</v>
      </c>
      <c r="C51" s="4" t="n">
        <f aca="false">COUNTIFS('Splitting Data'!$F$5:$F$164,$A51,'Splitting Data'!$D$5:$D$164,C$50)</f>
        <v>10</v>
      </c>
      <c r="D51" s="4" t="n">
        <f aca="false">SUM(B51:C51)</f>
        <v>18</v>
      </c>
    </row>
    <row r="52" customFormat="false" ht="15" hidden="false" customHeight="true" outlineLevel="0" collapsed="false">
      <c r="A52" s="4" t="s">
        <v>13</v>
      </c>
      <c r="B52" s="4" t="n">
        <f aca="false">COUNTIFS('Splitting Data'!$F$5:$F$164,$A52,'Splitting Data'!$D$5:$D$164,B$50)</f>
        <v>6</v>
      </c>
      <c r="C52" s="4" t="n">
        <f aca="false">COUNTIFS('Splitting Data'!$F$5:$F$164,$A52,'Splitting Data'!$D$5:$D$164,C$50)</f>
        <v>7</v>
      </c>
      <c r="D52" s="4" t="n">
        <f aca="false">SUM(B52:C52)</f>
        <v>13</v>
      </c>
    </row>
    <row r="53" customFormat="false" ht="15" hidden="false" customHeight="true" outlineLevel="0" collapsed="false">
      <c r="A53" s="4" t="s">
        <v>14</v>
      </c>
      <c r="B53" s="4" t="n">
        <f aca="false">COUNTIFS('Splitting Data'!$F$5:$F$164,$A53,'Splitting Data'!$D$5:$D$164,B$50)</f>
        <v>13</v>
      </c>
      <c r="C53" s="4" t="n">
        <f aca="false">COUNTIFS('Splitting Data'!$F$5:$F$164,$A53,'Splitting Data'!$D$5:$D$164,C$50)</f>
        <v>0</v>
      </c>
      <c r="D53" s="4" t="n">
        <f aca="false">SUM(B53:C53)</f>
        <v>13</v>
      </c>
    </row>
    <row r="54" customFormat="false" ht="15" hidden="false" customHeight="true" outlineLevel="0" collapsed="false">
      <c r="A54" s="4" t="s">
        <v>15</v>
      </c>
      <c r="B54" s="4" t="n">
        <f aca="false">COUNTIFS('Splitting Data'!$F$5:$F$164,$A54,'Splitting Data'!$D$5:$D$164,B$50)</f>
        <v>17</v>
      </c>
      <c r="C54" s="4" t="n">
        <f aca="false">COUNTIFS('Splitting Data'!$F$5:$F$164,$A54,'Splitting Data'!$D$5:$D$164,C$50)</f>
        <v>26</v>
      </c>
      <c r="D54" s="4" t="n">
        <f aca="false">SUM(B54:C54)</f>
        <v>43</v>
      </c>
    </row>
    <row r="55" customFormat="false" ht="15" hidden="false" customHeight="true" outlineLevel="0" collapsed="false">
      <c r="A55" s="4" t="s">
        <v>16</v>
      </c>
      <c r="B55" s="4" t="n">
        <f aca="false">COUNTIFS('Splitting Data'!$F$5:$F$164,$A55,'Splitting Data'!$D$5:$D$164,B$50)</f>
        <v>39</v>
      </c>
      <c r="C55" s="4" t="n">
        <f aca="false">COUNTIFS('Splitting Data'!$F$5:$F$164,$A55,'Splitting Data'!$D$5:$D$164,C$50)</f>
        <v>34</v>
      </c>
      <c r="D55" s="4" t="n">
        <f aca="false">SUM(B55:C55)</f>
        <v>73</v>
      </c>
    </row>
    <row r="56" customFormat="false" ht="15" hidden="false" customHeight="true" outlineLevel="0" collapsed="false">
      <c r="A56" s="4" t="s">
        <v>30</v>
      </c>
      <c r="B56" s="4" t="n">
        <f aca="false">SUM(B51:B55)</f>
        <v>83</v>
      </c>
      <c r="C56" s="4" t="n">
        <f aca="false">SUM(C51:C55)</f>
        <v>77</v>
      </c>
      <c r="D56" s="4" t="n">
        <f aca="false">SUM(D51:D55)</f>
        <v>160</v>
      </c>
    </row>
    <row r="58" customFormat="false" ht="15" hidden="false" customHeight="true" outlineLevel="0" collapsed="false">
      <c r="A58" s="8" t="s">
        <v>36</v>
      </c>
    </row>
    <row r="59" customFormat="false" ht="15" hidden="false" customHeight="true" outlineLevel="0" collapsed="false">
      <c r="A59" s="3" t="s">
        <v>27</v>
      </c>
      <c r="B59" s="3" t="s">
        <v>7</v>
      </c>
      <c r="C59" s="3" t="s">
        <v>8</v>
      </c>
    </row>
    <row r="60" customFormat="false" ht="15" hidden="false" customHeight="true" outlineLevel="0" collapsed="false">
      <c r="A60" s="4" t="s">
        <v>9</v>
      </c>
      <c r="B60" s="4" t="n">
        <f aca="false">B51/D51</f>
        <v>0.444444444444444</v>
      </c>
      <c r="C60" s="4" t="n">
        <f aca="false">C51/D51</f>
        <v>0.555555555555556</v>
      </c>
    </row>
    <row r="61" customFormat="false" ht="15" hidden="false" customHeight="true" outlineLevel="0" collapsed="false">
      <c r="A61" s="4" t="s">
        <v>13</v>
      </c>
      <c r="B61" s="4" t="n">
        <f aca="false">B52/D52</f>
        <v>0.461538461538462</v>
      </c>
      <c r="C61" s="4" t="n">
        <f aca="false">C52/D52</f>
        <v>0.538461538461538</v>
      </c>
    </row>
    <row r="62" customFormat="false" ht="15" hidden="false" customHeight="true" outlineLevel="0" collapsed="false">
      <c r="A62" s="4" t="s">
        <v>14</v>
      </c>
      <c r="B62" s="4" t="n">
        <f aca="false">B53/D53</f>
        <v>1</v>
      </c>
      <c r="C62" s="4" t="n">
        <f aca="false">C53/D53</f>
        <v>0</v>
      </c>
    </row>
    <row r="63" customFormat="false" ht="15" hidden="false" customHeight="true" outlineLevel="0" collapsed="false">
      <c r="A63" s="4" t="s">
        <v>15</v>
      </c>
      <c r="B63" s="4" t="n">
        <f aca="false">B54/D54</f>
        <v>0.395348837209302</v>
      </c>
      <c r="C63" s="4" t="n">
        <f aca="false">C54/D54</f>
        <v>0.604651162790698</v>
      </c>
    </row>
    <row r="64" customFormat="false" ht="15" hidden="false" customHeight="true" outlineLevel="0" collapsed="false">
      <c r="A64" s="4" t="s">
        <v>16</v>
      </c>
      <c r="B64" s="4" t="n">
        <f aca="false">B55/D55</f>
        <v>0.534246575342466</v>
      </c>
      <c r="C64" s="4" t="n">
        <f aca="false">C55/D55</f>
        <v>0.465753424657534</v>
      </c>
    </row>
    <row r="67" customFormat="false" ht="15" hidden="false" customHeight="true" outlineLevel="0" collapsed="false">
      <c r="A67" s="8" t="s">
        <v>37</v>
      </c>
    </row>
    <row r="68" customFormat="false" ht="15" hidden="false" customHeight="true" outlineLevel="0" collapsed="false">
      <c r="A68" s="3" t="s">
        <v>27</v>
      </c>
      <c r="B68" s="3" t="s">
        <v>7</v>
      </c>
      <c r="C68" s="3" t="s">
        <v>10</v>
      </c>
      <c r="D68" s="3" t="s">
        <v>8</v>
      </c>
      <c r="E68" s="3" t="s">
        <v>30</v>
      </c>
    </row>
    <row r="69" customFormat="false" ht="15" hidden="false" customHeight="true" outlineLevel="0" collapsed="false">
      <c r="A69" s="4" t="s">
        <v>9</v>
      </c>
      <c r="B69" s="4" t="n">
        <f aca="false">COUNTIFS('Splitting Data'!$F$5:$F$164,$A69,'Splitting Data'!$E$5:$E$164,B$68)</f>
        <v>2</v>
      </c>
      <c r="C69" s="4" t="n">
        <f aca="false">COUNTIFS('Splitting Data'!$F$5:$F$164,$A69,'Splitting Data'!$E$5:$E$164,C$68)</f>
        <v>5</v>
      </c>
      <c r="D69" s="4" t="n">
        <f aca="false">COUNTIFS('Splitting Data'!$F$5:$F$164,$A69,'Splitting Data'!$E$5:$E$164,D$68)</f>
        <v>11</v>
      </c>
      <c r="E69" s="4" t="n">
        <f aca="false">SUM(B69:D69)</f>
        <v>18</v>
      </c>
    </row>
    <row r="70" customFormat="false" ht="15" hidden="false" customHeight="true" outlineLevel="0" collapsed="false">
      <c r="A70" s="4" t="s">
        <v>13</v>
      </c>
      <c r="B70" s="4" t="n">
        <f aca="false">COUNTIFS('Splitting Data'!$F$5:$F$164,$A70,'Splitting Data'!$E$5:$E$164,B$68)</f>
        <v>1</v>
      </c>
      <c r="C70" s="4" t="n">
        <f aca="false">COUNTIFS('Splitting Data'!$F$5:$F$164,$A70,'Splitting Data'!$E$5:$E$164,C$68)</f>
        <v>3</v>
      </c>
      <c r="D70" s="4" t="n">
        <f aca="false">COUNTIFS('Splitting Data'!$F$5:$F$164,$A70,'Splitting Data'!$E$5:$E$164,D$68)</f>
        <v>9</v>
      </c>
      <c r="E70" s="4" t="n">
        <f aca="false">SUM(B70:D70)</f>
        <v>13</v>
      </c>
    </row>
    <row r="71" customFormat="false" ht="15" hidden="false" customHeight="true" outlineLevel="0" collapsed="false">
      <c r="A71" s="4" t="s">
        <v>14</v>
      </c>
      <c r="B71" s="4" t="n">
        <f aca="false">COUNTIFS('Splitting Data'!$F$5:$F$164,$A71,'Splitting Data'!$E$5:$E$164,B$68)</f>
        <v>1</v>
      </c>
      <c r="C71" s="4" t="n">
        <f aca="false">COUNTIFS('Splitting Data'!$F$5:$F$164,$A71,'Splitting Data'!$E$5:$E$164,C$68)</f>
        <v>3</v>
      </c>
      <c r="D71" s="4" t="n">
        <f aca="false">COUNTIFS('Splitting Data'!$F$5:$F$164,$A71,'Splitting Data'!$E$5:$E$164,D$68)</f>
        <v>9</v>
      </c>
      <c r="E71" s="4" t="n">
        <f aca="false">SUM(B71:D71)</f>
        <v>13</v>
      </c>
    </row>
    <row r="72" customFormat="false" ht="15" hidden="false" customHeight="true" outlineLevel="0" collapsed="false">
      <c r="A72" s="4" t="s">
        <v>15</v>
      </c>
      <c r="B72" s="4" t="n">
        <f aca="false">COUNTIFS('Splitting Data'!$F$5:$F$164,$A72,'Splitting Data'!$E$5:$E$164,B$68)</f>
        <v>5</v>
      </c>
      <c r="C72" s="4" t="n">
        <f aca="false">COUNTIFS('Splitting Data'!$F$5:$F$164,$A72,'Splitting Data'!$E$5:$E$164,C$68)</f>
        <v>15</v>
      </c>
      <c r="D72" s="4" t="n">
        <f aca="false">COUNTIFS('Splitting Data'!$F$5:$F$164,$A72,'Splitting Data'!$E$5:$E$164,D$68)</f>
        <v>23</v>
      </c>
      <c r="E72" s="4" t="n">
        <f aca="false">SUM(B72:D72)</f>
        <v>43</v>
      </c>
    </row>
    <row r="73" customFormat="false" ht="15" hidden="false" customHeight="true" outlineLevel="0" collapsed="false">
      <c r="A73" s="4" t="s">
        <v>16</v>
      </c>
      <c r="B73" s="4" t="n">
        <f aca="false">COUNTIFS('Splitting Data'!$F$5:$F$164,$A73,'Splitting Data'!$E$5:$E$164,B$68)</f>
        <v>42</v>
      </c>
      <c r="C73" s="4" t="n">
        <f aca="false">COUNTIFS('Splitting Data'!$F$5:$F$164,$A73,'Splitting Data'!$E$5:$E$164,C$68)</f>
        <v>0</v>
      </c>
      <c r="D73" s="4" t="n">
        <f aca="false">COUNTIFS('Splitting Data'!$F$5:$F$164,$A73,'Splitting Data'!$E$5:$E$164,D$68)</f>
        <v>31</v>
      </c>
      <c r="E73" s="4" t="n">
        <f aca="false">SUM(B73:D73)</f>
        <v>73</v>
      </c>
    </row>
    <row r="74" customFormat="false" ht="15" hidden="false" customHeight="true" outlineLevel="0" collapsed="false">
      <c r="A74" s="4" t="s">
        <v>30</v>
      </c>
      <c r="B74" s="4" t="n">
        <f aca="false">SUM(B69:B73)</f>
        <v>51</v>
      </c>
      <c r="C74" s="4" t="n">
        <f aca="false">SUM(C69:C73)</f>
        <v>26</v>
      </c>
      <c r="D74" s="4" t="n">
        <f aca="false">SUM(D69:D73)</f>
        <v>83</v>
      </c>
      <c r="E74" s="4" t="n">
        <f aca="false">SUM(E69:E73)</f>
        <v>160</v>
      </c>
    </row>
    <row r="76" customFormat="false" ht="15" hidden="false" customHeight="true" outlineLevel="0" collapsed="false">
      <c r="A76" s="8" t="s">
        <v>38</v>
      </c>
    </row>
    <row r="77" customFormat="false" ht="15" hidden="false" customHeight="true" outlineLevel="0" collapsed="false">
      <c r="A77" s="3" t="s">
        <v>27</v>
      </c>
      <c r="B77" s="3" t="s">
        <v>7</v>
      </c>
      <c r="C77" s="3" t="s">
        <v>10</v>
      </c>
      <c r="D77" s="3" t="s">
        <v>8</v>
      </c>
    </row>
    <row r="78" customFormat="false" ht="15" hidden="false" customHeight="true" outlineLevel="0" collapsed="false">
      <c r="A78" s="4" t="s">
        <v>9</v>
      </c>
      <c r="B78" s="4" t="n">
        <f aca="false">B69/E69</f>
        <v>0.111111111111111</v>
      </c>
      <c r="C78" s="4" t="n">
        <f aca="false">C69/E69</f>
        <v>0.277777777777778</v>
      </c>
      <c r="D78" s="4" t="n">
        <f aca="false">D69/E69</f>
        <v>0.611111111111111</v>
      </c>
    </row>
    <row r="79" customFormat="false" ht="15" hidden="false" customHeight="true" outlineLevel="0" collapsed="false">
      <c r="A79" s="4" t="s">
        <v>13</v>
      </c>
      <c r="B79" s="4" t="n">
        <f aca="false">B70/E70</f>
        <v>0.0769230769230769</v>
      </c>
      <c r="C79" s="4" t="n">
        <f aca="false">C70/E70</f>
        <v>0.230769230769231</v>
      </c>
      <c r="D79" s="4" t="n">
        <f aca="false">D70/E70</f>
        <v>0.692307692307692</v>
      </c>
    </row>
    <row r="80" customFormat="false" ht="15" hidden="false" customHeight="true" outlineLevel="0" collapsed="false">
      <c r="A80" s="4" t="s">
        <v>14</v>
      </c>
      <c r="B80" s="4" t="n">
        <f aca="false">B71/E71</f>
        <v>0.0769230769230769</v>
      </c>
      <c r="C80" s="4" t="n">
        <f aca="false">C71/E71</f>
        <v>0.230769230769231</v>
      </c>
      <c r="D80" s="4" t="n">
        <f aca="false">D71/E71</f>
        <v>0.692307692307692</v>
      </c>
    </row>
    <row r="81" customFormat="false" ht="15" hidden="false" customHeight="true" outlineLevel="0" collapsed="false">
      <c r="A81" s="4" t="s">
        <v>15</v>
      </c>
      <c r="B81" s="4" t="n">
        <f aca="false">B72/E72</f>
        <v>0.116279069767442</v>
      </c>
      <c r="C81" s="4" t="n">
        <f aca="false">C72/E72</f>
        <v>0.348837209302326</v>
      </c>
      <c r="D81" s="4" t="n">
        <f aca="false">D72/E72</f>
        <v>0.534883720930233</v>
      </c>
    </row>
    <row r="82" customFormat="false" ht="15" hidden="false" customHeight="true" outlineLevel="0" collapsed="false">
      <c r="A82" s="4" t="s">
        <v>16</v>
      </c>
      <c r="B82" s="4" t="n">
        <f aca="false">B73/E73</f>
        <v>0.575342465753425</v>
      </c>
      <c r="C82" s="4" t="n">
        <f aca="false">C73/E73</f>
        <v>0</v>
      </c>
      <c r="D82" s="4" t="n">
        <f aca="false">D73/E73</f>
        <v>0.424657534246575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9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12" min="7" style="1" width="10"/>
    <col collapsed="false" customWidth="true" hidden="false" outlineLevel="0" max="13" min="13" style="1" width="8"/>
  </cols>
  <sheetData>
    <row r="1" customFormat="false" ht="15.75" hidden="false" customHeight="true" outlineLevel="0" collapsed="false">
      <c r="A1" s="2" t="s">
        <v>39</v>
      </c>
    </row>
    <row r="2" customFormat="false" ht="15" hidden="false" customHeight="true" outlineLevel="0" collapsed="false">
      <c r="A2" s="5" t="s">
        <v>40</v>
      </c>
    </row>
    <row r="4" customFormat="false" ht="30" hidden="false" customHeight="true" outlineLevel="0" collapsed="false">
      <c r="A4" s="3" t="s">
        <v>19</v>
      </c>
      <c r="B4" s="3" t="s">
        <v>1</v>
      </c>
      <c r="C4" s="3" t="s">
        <v>2</v>
      </c>
      <c r="D4" s="3" t="s">
        <v>3</v>
      </c>
      <c r="E4" s="3" t="s">
        <v>4</v>
      </c>
      <c r="F4" s="9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</row>
    <row r="5" customFormat="false" ht="15" hidden="false" customHeight="true" outlineLevel="0" collapsed="false">
      <c r="A5" s="4" t="n">
        <v>1</v>
      </c>
      <c r="B5" s="4" t="str">
        <f aca="false">'Splitting Data'!B165</f>
        <v>YOUNG</v>
      </c>
      <c r="C5" s="4" t="str">
        <f aca="false">'Splitting Data'!C165</f>
        <v>HIGH</v>
      </c>
      <c r="D5" s="4" t="str">
        <f aca="false">'Splitting Data'!D165</f>
        <v>HIGH</v>
      </c>
      <c r="E5" s="4" t="str">
        <f aca="false">'Splitting Data'!E165</f>
        <v>NORMAL</v>
      </c>
      <c r="F5" s="4" t="str">
        <f aca="false">'Splitting Data'!F165</f>
        <v>drugA</v>
      </c>
      <c r="G5" s="4" t="n">
        <f aca="false">'Prior &amp; Likelihood'!C5*INDEX('Prior &amp; Likelihood'!$B$24:$D$24,MATCH($B5,'Prior &amp; Likelihood'!$B$23:$D$23,0))*INDEX('Prior &amp; Likelihood'!$B$42:$D$42,MATCH($C5,'Prior &amp; Likelihood'!$B$41:$D$41,0))*INDEX('Prior &amp; Likelihood'!$B$60:$C$60,MATCH($D5,'Prior &amp; Likelihood'!$B$59:$C$59,0))*INDEX('Prior &amp; Likelihood'!$B$78:$D$78,MATCH($E5,'Prior &amp; Likelihood'!$B$77:$D$77,0))</f>
        <v>0.00509259259259259</v>
      </c>
      <c r="H5" s="4" t="n">
        <f aca="false">'Prior &amp; Likelihood'!C6*INDEX('Prior &amp; Likelihood'!$B$25:$D$25,MATCH($B5,'Prior &amp; Likelihood'!$B$23:$D$23,0))*INDEX('Prior &amp; Likelihood'!$B$43:$D$43,MATCH($C5,'Prior &amp; Likelihood'!$B$41:$D$41,0))*INDEX('Prior &amp; Likelihood'!$B$61:$C$61,MATCH($D5,'Prior &amp; Likelihood'!$B$59:$C$59,0))*INDEX('Prior &amp; Likelihood'!$B$79:$D$79,MATCH($E5,'Prior &amp; Likelihood'!$B$77:$D$77,0))</f>
        <v>0</v>
      </c>
      <c r="I5" s="4" t="n">
        <f aca="false">'Prior &amp; Likelihood'!C7*INDEX('Prior &amp; Likelihood'!$B$26:$D$26,MATCH($B5,'Prior &amp; Likelihood'!$B$23:$D$23,0))*INDEX('Prior &amp; Likelihood'!$B$44:$D$44,MATCH($C5,'Prior &amp; Likelihood'!$B$41:$D$41,0))*INDEX('Prior &amp; Likelihood'!$B$62:$C$62,MATCH($D5,'Prior &amp; Likelihood'!$B$59:$C$59,0))*INDEX('Prior &amp; Likelihood'!$B$80:$D$80,MATCH($E5,'Prior &amp; Likelihood'!$B$77:$D$77,0))</f>
        <v>0</v>
      </c>
      <c r="J5" s="4" t="n">
        <f aca="false">'Prior &amp; Likelihood'!C8*INDEX('Prior &amp; Likelihood'!$B$27:$D$27,MATCH($B5,'Prior &amp; Likelihood'!$B$23:$D$23,0))*INDEX('Prior &amp; Likelihood'!$B$45:$D$45,MATCH($C5,'Prior &amp; Likelihood'!$B$41:$D$41,0))*INDEX('Prior &amp; Likelihood'!$B$63:$C$63,MATCH($D5,'Prior &amp; Likelihood'!$B$59:$C$59,0))*INDEX('Prior &amp; Likelihood'!$B$81:$D$81,MATCH($E5,'Prior &amp; Likelihood'!$B$77:$D$77,0))</f>
        <v>0</v>
      </c>
      <c r="K5" s="4" t="n">
        <f aca="false">'Prior &amp; Likelihood'!C9*INDEX('Prior &amp; Likelihood'!$B$28:$D$28,MATCH($B5,'Prior &amp; Likelihood'!$B$23:$D$23,0))*INDEX('Prior &amp; Likelihood'!$B$46:$D$46,MATCH($C5,'Prior &amp; Likelihood'!$B$41:$D$41,0))*INDEX('Prior &amp; Likelihood'!$B$64:$C$64,MATCH($D5,'Prior &amp; Likelihood'!$B$59:$C$59,0))*INDEX('Prior &amp; Likelihood'!$B$82:$D$82,MATCH($E5,'Prior &amp; Likelihood'!$B$77:$D$77,0))</f>
        <v>0.00782785520941244</v>
      </c>
      <c r="L5" s="4" t="str">
        <f aca="false">INDEX({"drugA","drugB","drugC","drugX","DrugY"},MATCH(MAX(G5:K5),G5:K5,0))</f>
        <v>DrugY</v>
      </c>
      <c r="M5" s="10" t="n">
        <f aca="false">IF(L5=F5,1,0)</f>
        <v>0</v>
      </c>
    </row>
    <row r="6" customFormat="false" ht="15" hidden="false" customHeight="true" outlineLevel="0" collapsed="false">
      <c r="A6" s="4" t="n">
        <v>2</v>
      </c>
      <c r="B6" s="4" t="str">
        <f aca="false">'Splitting Data'!B166</f>
        <v>ADULT</v>
      </c>
      <c r="C6" s="4" t="str">
        <f aca="false">'Splitting Data'!C166</f>
        <v>HIGH</v>
      </c>
      <c r="D6" s="4" t="str">
        <f aca="false">'Splitting Data'!D166</f>
        <v>NORMAL</v>
      </c>
      <c r="E6" s="4" t="str">
        <f aca="false">'Splitting Data'!E166</f>
        <v>NORMAL</v>
      </c>
      <c r="F6" s="4" t="str">
        <f aca="false">'Splitting Data'!F166</f>
        <v>drugA</v>
      </c>
      <c r="G6" s="4" t="n">
        <f aca="false">'Prior &amp; Likelihood'!C5*INDEX('Prior &amp; Likelihood'!$B$24:$D$24,MATCH($B6,'Prior &amp; Likelihood'!$B$23:$D$23,0))*INDEX('Prior &amp; Likelihood'!$B$42:$D$42,MATCH($C6,'Prior &amp; Likelihood'!$B$41:$D$41,0))*INDEX('Prior &amp; Likelihood'!$B$60:$C$60,MATCH($D6,'Prior &amp; Likelihood'!$B$59:$C$59,0))*INDEX('Prior &amp; Likelihood'!$B$78:$D$78,MATCH($E6,'Prior &amp; Likelihood'!$B$77:$D$77,0))</f>
        <v>0.0212191358024691</v>
      </c>
      <c r="H6" s="4" t="n">
        <f aca="false">'Prior &amp; Likelihood'!C6*INDEX('Prior &amp; Likelihood'!$B$25:$D$25,MATCH($B6,'Prior &amp; Likelihood'!$B$23:$D$23,0))*INDEX('Prior &amp; Likelihood'!$B$43:$D$43,MATCH($C6,'Prior &amp; Likelihood'!$B$41:$D$41,0))*INDEX('Prior &amp; Likelihood'!$B$61:$C$61,MATCH($D6,'Prior &amp; Likelihood'!$B$59:$C$59,0))*INDEX('Prior &amp; Likelihood'!$B$79:$D$79,MATCH($E6,'Prior &amp; Likelihood'!$B$77:$D$77,0))</f>
        <v>0</v>
      </c>
      <c r="I6" s="4" t="n">
        <f aca="false">'Prior &amp; Likelihood'!C7*INDEX('Prior &amp; Likelihood'!$B$26:$D$26,MATCH($B6,'Prior &amp; Likelihood'!$B$23:$D$23,0))*INDEX('Prior &amp; Likelihood'!$B$44:$D$44,MATCH($C6,'Prior &amp; Likelihood'!$B$41:$D$41,0))*INDEX('Prior &amp; Likelihood'!$B$62:$C$62,MATCH($D6,'Prior &amp; Likelihood'!$B$59:$C$59,0))*INDEX('Prior &amp; Likelihood'!$B$80:$D$80,MATCH($E6,'Prior &amp; Likelihood'!$B$77:$D$77,0))</f>
        <v>0</v>
      </c>
      <c r="J6" s="4" t="n">
        <f aca="false">'Prior &amp; Likelihood'!C8*INDEX('Prior &amp; Likelihood'!$B$27:$D$27,MATCH($B6,'Prior &amp; Likelihood'!$B$23:$D$23,0))*INDEX('Prior &amp; Likelihood'!$B$45:$D$45,MATCH($C6,'Prior &amp; Likelihood'!$B$41:$D$41,0))*INDEX('Prior &amp; Likelihood'!$B$63:$C$63,MATCH($D6,'Prior &amp; Likelihood'!$B$59:$C$59,0))*INDEX('Prior &amp; Likelihood'!$B$81:$D$81,MATCH($E6,'Prior &amp; Likelihood'!$B$77:$D$77,0))</f>
        <v>0</v>
      </c>
      <c r="K6" s="4" t="n">
        <f aca="false">'Prior &amp; Likelihood'!C9*INDEX('Prior &amp; Likelihood'!$B$28:$D$28,MATCH($B6,'Prior &amp; Likelihood'!$B$23:$D$23,0))*INDEX('Prior &amp; Likelihood'!$B$46:$D$46,MATCH($C6,'Prior &amp; Likelihood'!$B$41:$D$41,0))*INDEX('Prior &amp; Likelihood'!$B$64:$C$64,MATCH($D6,'Prior &amp; Likelihood'!$B$59:$C$59,0))*INDEX('Prior &amp; Likelihood'!$B$82:$D$82,MATCH($E6,'Prior &amp; Likelihood'!$B$77:$D$77,0))</f>
        <v>0.0146984579080092</v>
      </c>
      <c r="L6" s="4" t="str">
        <f aca="false">INDEX({"drugA","drugB","drugC","drugX","DrugY"},MATCH(MAX(G6:K6),G6:K6,0))</f>
        <v>drugA</v>
      </c>
      <c r="M6" s="10" t="n">
        <f aca="false">IF(L6=F6,1,0)</f>
        <v>1</v>
      </c>
    </row>
    <row r="7" customFormat="false" ht="15" hidden="false" customHeight="true" outlineLevel="0" collapsed="false">
      <c r="A7" s="4" t="n">
        <v>3</v>
      </c>
      <c r="B7" s="4" t="str">
        <f aca="false">'Splitting Data'!B167</f>
        <v>ADULT</v>
      </c>
      <c r="C7" s="4" t="str">
        <f aca="false">'Splitting Data'!C167</f>
        <v>HIGH</v>
      </c>
      <c r="D7" s="4" t="str">
        <f aca="false">'Splitting Data'!D167</f>
        <v>HIGH</v>
      </c>
      <c r="E7" s="4" t="str">
        <f aca="false">'Splitting Data'!E167</f>
        <v>NORMAL</v>
      </c>
      <c r="F7" s="4" t="str">
        <f aca="false">'Splitting Data'!F167</f>
        <v>drugA</v>
      </c>
      <c r="G7" s="4" t="n">
        <f aca="false">'Prior &amp; Likelihood'!C5*INDEX('Prior &amp; Likelihood'!$B$24:$D$24,MATCH($B7,'Prior &amp; Likelihood'!$B$23:$D$23,0))*INDEX('Prior &amp; Likelihood'!$B$42:$D$42,MATCH($C7,'Prior &amp; Likelihood'!$B$41:$D$41,0))*INDEX('Prior &amp; Likelihood'!$B$60:$C$60,MATCH($D7,'Prior &amp; Likelihood'!$B$59:$C$59,0))*INDEX('Prior &amp; Likelihood'!$B$78:$D$78,MATCH($E7,'Prior &amp; Likelihood'!$B$77:$D$77,0))</f>
        <v>0.0169753086419753</v>
      </c>
      <c r="H7" s="4" t="n">
        <f aca="false">'Prior &amp; Likelihood'!C6*INDEX('Prior &amp; Likelihood'!$B$25:$D$25,MATCH($B7,'Prior &amp; Likelihood'!$B$23:$D$23,0))*INDEX('Prior &amp; Likelihood'!$B$43:$D$43,MATCH($C7,'Prior &amp; Likelihood'!$B$41:$D$41,0))*INDEX('Prior &amp; Likelihood'!$B$61:$C$61,MATCH($D7,'Prior &amp; Likelihood'!$B$59:$C$59,0))*INDEX('Prior &amp; Likelihood'!$B$79:$D$79,MATCH($E7,'Prior &amp; Likelihood'!$B$77:$D$77,0))</f>
        <v>0</v>
      </c>
      <c r="I7" s="4" t="n">
        <f aca="false">'Prior &amp; Likelihood'!C7*INDEX('Prior &amp; Likelihood'!$B$26:$D$26,MATCH($B7,'Prior &amp; Likelihood'!$B$23:$D$23,0))*INDEX('Prior &amp; Likelihood'!$B$44:$D$44,MATCH($C7,'Prior &amp; Likelihood'!$B$41:$D$41,0))*INDEX('Prior &amp; Likelihood'!$B$62:$C$62,MATCH($D7,'Prior &amp; Likelihood'!$B$59:$C$59,0))*INDEX('Prior &amp; Likelihood'!$B$80:$D$80,MATCH($E7,'Prior &amp; Likelihood'!$B$77:$D$77,0))</f>
        <v>0</v>
      </c>
      <c r="J7" s="4" t="n">
        <f aca="false">'Prior &amp; Likelihood'!C8*INDEX('Prior &amp; Likelihood'!$B$27:$D$27,MATCH($B7,'Prior &amp; Likelihood'!$B$23:$D$23,0))*INDEX('Prior &amp; Likelihood'!$B$45:$D$45,MATCH($C7,'Prior &amp; Likelihood'!$B$41:$D$41,0))*INDEX('Prior &amp; Likelihood'!$B$63:$C$63,MATCH($D7,'Prior &amp; Likelihood'!$B$59:$C$59,0))*INDEX('Prior &amp; Likelihood'!$B$81:$D$81,MATCH($E7,'Prior &amp; Likelihood'!$B$77:$D$77,0))</f>
        <v>0</v>
      </c>
      <c r="K7" s="4" t="n">
        <f aca="false">'Prior &amp; Likelihood'!C9*INDEX('Prior &amp; Likelihood'!$B$28:$D$28,MATCH($B7,'Prior &amp; Likelihood'!$B$23:$D$23,0))*INDEX('Prior &amp; Likelihood'!$B$46:$D$46,MATCH($C7,'Prior &amp; Likelihood'!$B$41:$D$41,0))*INDEX('Prior &amp; Likelihood'!$B$64:$C$64,MATCH($D7,'Prior &amp; Likelihood'!$B$59:$C$59,0))*INDEX('Prior &amp; Likelihood'!$B$82:$D$82,MATCH($E7,'Prior &amp; Likelihood'!$B$77:$D$77,0))</f>
        <v>0.0168599958356576</v>
      </c>
      <c r="L7" s="4" t="str">
        <f aca="false">INDEX({"drugA","drugB","drugC","drugX","DrugY"},MATCH(MAX(G7:K7),G7:K7,0))</f>
        <v>drugA</v>
      </c>
      <c r="M7" s="10" t="n">
        <f aca="false">IF(L7=F7,1,0)</f>
        <v>1</v>
      </c>
    </row>
    <row r="8" customFormat="false" ht="15" hidden="false" customHeight="true" outlineLevel="0" collapsed="false">
      <c r="A8" s="4" t="n">
        <v>4</v>
      </c>
      <c r="B8" s="4" t="str">
        <f aca="false">'Splitting Data'!B168</f>
        <v>ADULT</v>
      </c>
      <c r="C8" s="4" t="str">
        <f aca="false">'Splitting Data'!C168</f>
        <v>HIGH</v>
      </c>
      <c r="D8" s="4" t="str">
        <f aca="false">'Splitting Data'!D168</f>
        <v>HIGH</v>
      </c>
      <c r="E8" s="4" t="str">
        <f aca="false">'Splitting Data'!E168</f>
        <v>NORMAL</v>
      </c>
      <c r="F8" s="4" t="str">
        <f aca="false">'Splitting Data'!F168</f>
        <v>drugA</v>
      </c>
      <c r="G8" s="4" t="n">
        <f aca="false">'Prior &amp; Likelihood'!C5*INDEX('Prior &amp; Likelihood'!$B$24:$D$24,MATCH($B8,'Prior &amp; Likelihood'!$B$23:$D$23,0))*INDEX('Prior &amp; Likelihood'!$B$42:$D$42,MATCH($C8,'Prior &amp; Likelihood'!$B$41:$D$41,0))*INDEX('Prior &amp; Likelihood'!$B$60:$C$60,MATCH($D8,'Prior &amp; Likelihood'!$B$59:$C$59,0))*INDEX('Prior &amp; Likelihood'!$B$78:$D$78,MATCH($E8,'Prior &amp; Likelihood'!$B$77:$D$77,0))</f>
        <v>0.0169753086419753</v>
      </c>
      <c r="H8" s="4" t="n">
        <f aca="false">'Prior &amp; Likelihood'!C6*INDEX('Prior &amp; Likelihood'!$B$25:$D$25,MATCH($B8,'Prior &amp; Likelihood'!$B$23:$D$23,0))*INDEX('Prior &amp; Likelihood'!$B$43:$D$43,MATCH($C8,'Prior &amp; Likelihood'!$B$41:$D$41,0))*INDEX('Prior &amp; Likelihood'!$B$61:$C$61,MATCH($D8,'Prior &amp; Likelihood'!$B$59:$C$59,0))*INDEX('Prior &amp; Likelihood'!$B$79:$D$79,MATCH($E8,'Prior &amp; Likelihood'!$B$77:$D$77,0))</f>
        <v>0</v>
      </c>
      <c r="I8" s="4" t="n">
        <f aca="false">'Prior &amp; Likelihood'!C7*INDEX('Prior &amp; Likelihood'!$B$26:$D$26,MATCH($B8,'Prior &amp; Likelihood'!$B$23:$D$23,0))*INDEX('Prior &amp; Likelihood'!$B$44:$D$44,MATCH($C8,'Prior &amp; Likelihood'!$B$41:$D$41,0))*INDEX('Prior &amp; Likelihood'!$B$62:$C$62,MATCH($D8,'Prior &amp; Likelihood'!$B$59:$C$59,0))*INDEX('Prior &amp; Likelihood'!$B$80:$D$80,MATCH($E8,'Prior &amp; Likelihood'!$B$77:$D$77,0))</f>
        <v>0</v>
      </c>
      <c r="J8" s="4" t="n">
        <f aca="false">'Prior &amp; Likelihood'!C8*INDEX('Prior &amp; Likelihood'!$B$27:$D$27,MATCH($B8,'Prior &amp; Likelihood'!$B$23:$D$23,0))*INDEX('Prior &amp; Likelihood'!$B$45:$D$45,MATCH($C8,'Prior &amp; Likelihood'!$B$41:$D$41,0))*INDEX('Prior &amp; Likelihood'!$B$63:$C$63,MATCH($D8,'Prior &amp; Likelihood'!$B$59:$C$59,0))*INDEX('Prior &amp; Likelihood'!$B$81:$D$81,MATCH($E8,'Prior &amp; Likelihood'!$B$77:$D$77,0))</f>
        <v>0</v>
      </c>
      <c r="K8" s="4" t="n">
        <f aca="false">'Prior &amp; Likelihood'!C9*INDEX('Prior &amp; Likelihood'!$B$28:$D$28,MATCH($B8,'Prior &amp; Likelihood'!$B$23:$D$23,0))*INDEX('Prior &amp; Likelihood'!$B$46:$D$46,MATCH($C8,'Prior &amp; Likelihood'!$B$41:$D$41,0))*INDEX('Prior &amp; Likelihood'!$B$64:$C$64,MATCH($D8,'Prior &amp; Likelihood'!$B$59:$C$59,0))*INDEX('Prior &amp; Likelihood'!$B$82:$D$82,MATCH($E8,'Prior &amp; Likelihood'!$B$77:$D$77,0))</f>
        <v>0.0168599958356576</v>
      </c>
      <c r="L8" s="4" t="str">
        <f aca="false">INDEX({"drugA","drugB","drugC","drugX","DrugY"},MATCH(MAX(G8:K8),G8:K8,0))</f>
        <v>drugA</v>
      </c>
      <c r="M8" s="10" t="n">
        <f aca="false">IF(L8=F8,1,0)</f>
        <v>1</v>
      </c>
    </row>
    <row r="9" customFormat="false" ht="15" hidden="false" customHeight="true" outlineLevel="0" collapsed="false">
      <c r="A9" s="4" t="n">
        <v>5</v>
      </c>
      <c r="B9" s="4" t="str">
        <f aca="false">'Splitting Data'!B169</f>
        <v>OLD</v>
      </c>
      <c r="C9" s="4" t="str">
        <f aca="false">'Splitting Data'!C169</f>
        <v>HIGH</v>
      </c>
      <c r="D9" s="4" t="str">
        <f aca="false">'Splitting Data'!D169</f>
        <v>HIGH</v>
      </c>
      <c r="E9" s="4" t="str">
        <f aca="false">'Splitting Data'!E169</f>
        <v>NORMAL</v>
      </c>
      <c r="F9" s="4" t="str">
        <f aca="false">'Splitting Data'!F169</f>
        <v>drugA</v>
      </c>
      <c r="G9" s="4" t="n">
        <f aca="false">'Prior &amp; Likelihood'!C5*INDEX('Prior &amp; Likelihood'!$B$24:$D$24,MATCH($B9,'Prior &amp; Likelihood'!$B$23:$D$23,0))*INDEX('Prior &amp; Likelihood'!$B$42:$D$42,MATCH($C9,'Prior &amp; Likelihood'!$B$41:$D$41,0))*INDEX('Prior &amp; Likelihood'!$B$60:$C$60,MATCH($D9,'Prior &amp; Likelihood'!$B$59:$C$59,0))*INDEX('Prior &amp; Likelihood'!$B$78:$D$78,MATCH($E9,'Prior &amp; Likelihood'!$B$77:$D$77,0))</f>
        <v>0.00848765432098765</v>
      </c>
      <c r="H9" s="4" t="n">
        <f aca="false">'Prior &amp; Likelihood'!C6*INDEX('Prior &amp; Likelihood'!$B$25:$D$25,MATCH($B9,'Prior &amp; Likelihood'!$B$23:$D$23,0))*INDEX('Prior &amp; Likelihood'!$B$43:$D$43,MATCH($C9,'Prior &amp; Likelihood'!$B$41:$D$41,0))*INDEX('Prior &amp; Likelihood'!$B$61:$C$61,MATCH($D9,'Prior &amp; Likelihood'!$B$59:$C$59,0))*INDEX('Prior &amp; Likelihood'!$B$79:$D$79,MATCH($E9,'Prior &amp; Likelihood'!$B$77:$D$77,0))</f>
        <v>0.0259615384615385</v>
      </c>
      <c r="I9" s="4" t="n">
        <f aca="false">'Prior &amp; Likelihood'!C7*INDEX('Prior &amp; Likelihood'!$B$26:$D$26,MATCH($B9,'Prior &amp; Likelihood'!$B$23:$D$23,0))*INDEX('Prior &amp; Likelihood'!$B$44:$D$44,MATCH($C9,'Prior &amp; Likelihood'!$B$41:$D$41,0))*INDEX('Prior &amp; Likelihood'!$B$62:$C$62,MATCH($D9,'Prior &amp; Likelihood'!$B$59:$C$59,0))*INDEX('Prior &amp; Likelihood'!$B$80:$D$80,MATCH($E9,'Prior &amp; Likelihood'!$B$77:$D$77,0))</f>
        <v>0</v>
      </c>
      <c r="J9" s="4" t="n">
        <f aca="false">'Prior &amp; Likelihood'!C8*INDEX('Prior &amp; Likelihood'!$B$27:$D$27,MATCH($B9,'Prior &amp; Likelihood'!$B$23:$D$23,0))*INDEX('Prior &amp; Likelihood'!$B$45:$D$45,MATCH($C9,'Prior &amp; Likelihood'!$B$41:$D$41,0))*INDEX('Prior &amp; Likelihood'!$B$63:$C$63,MATCH($D9,'Prior &amp; Likelihood'!$B$59:$C$59,0))*INDEX('Prior &amp; Likelihood'!$B$81:$D$81,MATCH($E9,'Prior &amp; Likelihood'!$B$77:$D$77,0))</f>
        <v>0</v>
      </c>
      <c r="K9" s="4" t="n">
        <f aca="false">'Prior &amp; Likelihood'!C9*INDEX('Prior &amp; Likelihood'!$B$28:$D$28,MATCH($B9,'Prior &amp; Likelihood'!$B$23:$D$23,0))*INDEX('Prior &amp; Likelihood'!$B$46:$D$46,MATCH($C9,'Prior &amp; Likelihood'!$B$41:$D$41,0))*INDEX('Prior &amp; Likelihood'!$B$64:$C$64,MATCH($D9,'Prior &amp; Likelihood'!$B$59:$C$59,0))*INDEX('Prior &amp; Likelihood'!$B$82:$D$82,MATCH($E9,'Prior &amp; Likelihood'!$B$77:$D$77,0))</f>
        <v>0.0192685666693229</v>
      </c>
      <c r="L9" s="4" t="str">
        <f aca="false">INDEX({"drugA","drugB","drugC","drugX","DrugY"},MATCH(MAX(G9:K9),G9:K9,0))</f>
        <v>drugB</v>
      </c>
      <c r="M9" s="10" t="n">
        <f aca="false">IF(L9=F9,1,0)</f>
        <v>0</v>
      </c>
    </row>
    <row r="10" customFormat="false" ht="15" hidden="false" customHeight="true" outlineLevel="0" collapsed="false">
      <c r="A10" s="4" t="n">
        <v>6</v>
      </c>
      <c r="B10" s="4" t="str">
        <f aca="false">'Splitting Data'!B170</f>
        <v>OLD</v>
      </c>
      <c r="C10" s="4" t="str">
        <f aca="false">'Splitting Data'!C170</f>
        <v>HIGH</v>
      </c>
      <c r="D10" s="4" t="str">
        <f aca="false">'Splitting Data'!D170</f>
        <v>NORMAL</v>
      </c>
      <c r="E10" s="4" t="str">
        <f aca="false">'Splitting Data'!E170</f>
        <v>LOW</v>
      </c>
      <c r="F10" s="4" t="str">
        <f aca="false">'Splitting Data'!F170</f>
        <v>drugB</v>
      </c>
      <c r="G10" s="4" t="n">
        <f aca="false">'Prior &amp; Likelihood'!C5*INDEX('Prior &amp; Likelihood'!$B$24:$D$24,MATCH($B10,'Prior &amp; Likelihood'!$B$23:$D$23,0))*INDEX('Prior &amp; Likelihood'!$B$42:$D$42,MATCH($C10,'Prior &amp; Likelihood'!$B$41:$D$41,0))*INDEX('Prior &amp; Likelihood'!$B$60:$C$60,MATCH($D10,'Prior &amp; Likelihood'!$B$59:$C$59,0))*INDEX('Prior &amp; Likelihood'!$B$78:$D$78,MATCH($E10,'Prior &amp; Likelihood'!$B$77:$D$77,0))</f>
        <v>0.00482253086419753</v>
      </c>
      <c r="H10" s="4" t="n">
        <f aca="false">'Prior &amp; Likelihood'!C6*INDEX('Prior &amp; Likelihood'!$B$25:$D$25,MATCH($B10,'Prior &amp; Likelihood'!$B$23:$D$23,0))*INDEX('Prior &amp; Likelihood'!$B$43:$D$43,MATCH($C10,'Prior &amp; Likelihood'!$B$41:$D$41,0))*INDEX('Prior &amp; Likelihood'!$B$61:$C$61,MATCH($D10,'Prior &amp; Likelihood'!$B$59:$C$59,0))*INDEX('Prior &amp; Likelihood'!$B$79:$D$79,MATCH($E10,'Prior &amp; Likelihood'!$B$77:$D$77,0))</f>
        <v>0.0100961538461538</v>
      </c>
      <c r="I10" s="4" t="n">
        <f aca="false">'Prior &amp; Likelihood'!C7*INDEX('Prior &amp; Likelihood'!$B$26:$D$26,MATCH($B10,'Prior &amp; Likelihood'!$B$23:$D$23,0))*INDEX('Prior &amp; Likelihood'!$B$44:$D$44,MATCH($C10,'Prior &amp; Likelihood'!$B$41:$D$41,0))*INDEX('Prior &amp; Likelihood'!$B$62:$C$62,MATCH($D10,'Prior &amp; Likelihood'!$B$59:$C$59,0))*INDEX('Prior &amp; Likelihood'!$B$80:$D$80,MATCH($E10,'Prior &amp; Likelihood'!$B$77:$D$77,0))</f>
        <v>0</v>
      </c>
      <c r="J10" s="4" t="n">
        <f aca="false">'Prior &amp; Likelihood'!C8*INDEX('Prior &amp; Likelihood'!$B$27:$D$27,MATCH($B10,'Prior &amp; Likelihood'!$B$23:$D$23,0))*INDEX('Prior &amp; Likelihood'!$B$45:$D$45,MATCH($C10,'Prior &amp; Likelihood'!$B$41:$D$41,0))*INDEX('Prior &amp; Likelihood'!$B$63:$C$63,MATCH($D10,'Prior &amp; Likelihood'!$B$59:$C$59,0))*INDEX('Prior &amp; Likelihood'!$B$81:$D$81,MATCH($E10,'Prior &amp; Likelihood'!$B$77:$D$77,0))</f>
        <v>0</v>
      </c>
      <c r="K10" s="4" t="n">
        <f aca="false">'Prior &amp; Likelihood'!C9*INDEX('Prior &amp; Likelihood'!$B$28:$D$28,MATCH($B10,'Prior &amp; Likelihood'!$B$23:$D$23,0))*INDEX('Prior &amp; Likelihood'!$B$46:$D$46,MATCH($C10,'Prior &amp; Likelihood'!$B$41:$D$41,0))*INDEX('Prior &amp; Likelihood'!$B$64:$C$64,MATCH($D10,'Prior &amp; Likelihood'!$B$59:$C$59,0))*INDEX('Prior &amp; Likelihood'!$B$82:$D$82,MATCH($E10,'Prior &amp; Likelihood'!$B$77:$D$77,0))</f>
        <v>0</v>
      </c>
      <c r="L10" s="4" t="str">
        <f aca="false">INDEX({"drugA","drugB","drugC","drugX","DrugY"},MATCH(MAX(G10:K10),G10:K10,0))</f>
        <v>drugB</v>
      </c>
      <c r="M10" s="10" t="n">
        <f aca="false">IF(L10=F10,1,0)</f>
        <v>1</v>
      </c>
    </row>
    <row r="11" customFormat="false" ht="15" hidden="false" customHeight="true" outlineLevel="0" collapsed="false">
      <c r="A11" s="4" t="n">
        <v>7</v>
      </c>
      <c r="B11" s="4" t="str">
        <f aca="false">'Splitting Data'!B171</f>
        <v>OLD</v>
      </c>
      <c r="C11" s="4" t="str">
        <f aca="false">'Splitting Data'!C171</f>
        <v>HIGH</v>
      </c>
      <c r="D11" s="4" t="str">
        <f aca="false">'Splitting Data'!D171</f>
        <v>HIGH</v>
      </c>
      <c r="E11" s="4" t="str">
        <f aca="false">'Splitting Data'!E171</f>
        <v>NORMAL</v>
      </c>
      <c r="F11" s="4" t="str">
        <f aca="false">'Splitting Data'!F171</f>
        <v>drugB</v>
      </c>
      <c r="G11" s="4" t="n">
        <f aca="false">'Prior &amp; Likelihood'!C5*INDEX('Prior &amp; Likelihood'!$B$24:$D$24,MATCH($B11,'Prior &amp; Likelihood'!$B$23:$D$23,0))*INDEX('Prior &amp; Likelihood'!$B$42:$D$42,MATCH($C11,'Prior &amp; Likelihood'!$B$41:$D$41,0))*INDEX('Prior &amp; Likelihood'!$B$60:$C$60,MATCH($D11,'Prior &amp; Likelihood'!$B$59:$C$59,0))*INDEX('Prior &amp; Likelihood'!$B$78:$D$78,MATCH($E11,'Prior &amp; Likelihood'!$B$77:$D$77,0))</f>
        <v>0.00848765432098765</v>
      </c>
      <c r="H11" s="4" t="n">
        <f aca="false">'Prior &amp; Likelihood'!C6*INDEX('Prior &amp; Likelihood'!$B$25:$D$25,MATCH($B11,'Prior &amp; Likelihood'!$B$23:$D$23,0))*INDEX('Prior &amp; Likelihood'!$B$43:$D$43,MATCH($C11,'Prior &amp; Likelihood'!$B$41:$D$41,0))*INDEX('Prior &amp; Likelihood'!$B$61:$C$61,MATCH($D11,'Prior &amp; Likelihood'!$B$59:$C$59,0))*INDEX('Prior &amp; Likelihood'!$B$79:$D$79,MATCH($E11,'Prior &amp; Likelihood'!$B$77:$D$77,0))</f>
        <v>0.0259615384615385</v>
      </c>
      <c r="I11" s="4" t="n">
        <f aca="false">'Prior &amp; Likelihood'!C7*INDEX('Prior &amp; Likelihood'!$B$26:$D$26,MATCH($B11,'Prior &amp; Likelihood'!$B$23:$D$23,0))*INDEX('Prior &amp; Likelihood'!$B$44:$D$44,MATCH($C11,'Prior &amp; Likelihood'!$B$41:$D$41,0))*INDEX('Prior &amp; Likelihood'!$B$62:$C$62,MATCH($D11,'Prior &amp; Likelihood'!$B$59:$C$59,0))*INDEX('Prior &amp; Likelihood'!$B$80:$D$80,MATCH($E11,'Prior &amp; Likelihood'!$B$77:$D$77,0))</f>
        <v>0</v>
      </c>
      <c r="J11" s="4" t="n">
        <f aca="false">'Prior &amp; Likelihood'!C8*INDEX('Prior &amp; Likelihood'!$B$27:$D$27,MATCH($B11,'Prior &amp; Likelihood'!$B$23:$D$23,0))*INDEX('Prior &amp; Likelihood'!$B$45:$D$45,MATCH($C11,'Prior &amp; Likelihood'!$B$41:$D$41,0))*INDEX('Prior &amp; Likelihood'!$B$63:$C$63,MATCH($D11,'Prior &amp; Likelihood'!$B$59:$C$59,0))*INDEX('Prior &amp; Likelihood'!$B$81:$D$81,MATCH($E11,'Prior &amp; Likelihood'!$B$77:$D$77,0))</f>
        <v>0</v>
      </c>
      <c r="K11" s="4" t="n">
        <f aca="false">'Prior &amp; Likelihood'!C9*INDEX('Prior &amp; Likelihood'!$B$28:$D$28,MATCH($B11,'Prior &amp; Likelihood'!$B$23:$D$23,0))*INDEX('Prior &amp; Likelihood'!$B$46:$D$46,MATCH($C11,'Prior &amp; Likelihood'!$B$41:$D$41,0))*INDEX('Prior &amp; Likelihood'!$B$64:$C$64,MATCH($D11,'Prior &amp; Likelihood'!$B$59:$C$59,0))*INDEX('Prior &amp; Likelihood'!$B$82:$D$82,MATCH($E11,'Prior &amp; Likelihood'!$B$77:$D$77,0))</f>
        <v>0.0192685666693229</v>
      </c>
      <c r="L11" s="4" t="str">
        <f aca="false">INDEX({"drugA","drugB","drugC","drugX","DrugY"},MATCH(MAX(G11:K11),G11:K11,0))</f>
        <v>drugB</v>
      </c>
      <c r="M11" s="10" t="n">
        <f aca="false">IF(L11=F11,1,0)</f>
        <v>1</v>
      </c>
    </row>
    <row r="12" customFormat="false" ht="15" hidden="false" customHeight="true" outlineLevel="0" collapsed="false">
      <c r="A12" s="4" t="n">
        <v>8</v>
      </c>
      <c r="B12" s="4" t="str">
        <f aca="false">'Splitting Data'!B172</f>
        <v>OLD</v>
      </c>
      <c r="C12" s="4" t="str">
        <f aca="false">'Splitting Data'!C172</f>
        <v>HIGH</v>
      </c>
      <c r="D12" s="4" t="str">
        <f aca="false">'Splitting Data'!D172</f>
        <v>HIGH</v>
      </c>
      <c r="E12" s="4" t="str">
        <f aca="false">'Splitting Data'!E172</f>
        <v>LOW</v>
      </c>
      <c r="F12" s="4" t="str">
        <f aca="false">'Splitting Data'!F172</f>
        <v>drugB</v>
      </c>
      <c r="G12" s="4" t="n">
        <f aca="false">'Prior &amp; Likelihood'!C5*INDEX('Prior &amp; Likelihood'!$B$24:$D$24,MATCH($B12,'Prior &amp; Likelihood'!$B$23:$D$23,0))*INDEX('Prior &amp; Likelihood'!$B$42:$D$42,MATCH($C12,'Prior &amp; Likelihood'!$B$41:$D$41,0))*INDEX('Prior &amp; Likelihood'!$B$60:$C$60,MATCH($D12,'Prior &amp; Likelihood'!$B$59:$C$59,0))*INDEX('Prior &amp; Likelihood'!$B$78:$D$78,MATCH($E12,'Prior &amp; Likelihood'!$B$77:$D$77,0))</f>
        <v>0.00385802469135802</v>
      </c>
      <c r="H12" s="4" t="n">
        <f aca="false">'Prior &amp; Likelihood'!C6*INDEX('Prior &amp; Likelihood'!$B$25:$D$25,MATCH($B12,'Prior &amp; Likelihood'!$B$23:$D$23,0))*INDEX('Prior &amp; Likelihood'!$B$43:$D$43,MATCH($C12,'Prior &amp; Likelihood'!$B$41:$D$41,0))*INDEX('Prior &amp; Likelihood'!$B$61:$C$61,MATCH($D12,'Prior &amp; Likelihood'!$B$59:$C$59,0))*INDEX('Prior &amp; Likelihood'!$B$79:$D$79,MATCH($E12,'Prior &amp; Likelihood'!$B$77:$D$77,0))</f>
        <v>0.00865384615384616</v>
      </c>
      <c r="I12" s="4" t="n">
        <f aca="false">'Prior &amp; Likelihood'!C7*INDEX('Prior &amp; Likelihood'!$B$26:$D$26,MATCH($B12,'Prior &amp; Likelihood'!$B$23:$D$23,0))*INDEX('Prior &amp; Likelihood'!$B$44:$D$44,MATCH($C12,'Prior &amp; Likelihood'!$B$41:$D$41,0))*INDEX('Prior &amp; Likelihood'!$B$62:$C$62,MATCH($D12,'Prior &amp; Likelihood'!$B$59:$C$59,0))*INDEX('Prior &amp; Likelihood'!$B$80:$D$80,MATCH($E12,'Prior &amp; Likelihood'!$B$77:$D$77,0))</f>
        <v>0</v>
      </c>
      <c r="J12" s="4" t="n">
        <f aca="false">'Prior &amp; Likelihood'!C8*INDEX('Prior &amp; Likelihood'!$B$27:$D$27,MATCH($B12,'Prior &amp; Likelihood'!$B$23:$D$23,0))*INDEX('Prior &amp; Likelihood'!$B$45:$D$45,MATCH($C12,'Prior &amp; Likelihood'!$B$41:$D$41,0))*INDEX('Prior &amp; Likelihood'!$B$63:$C$63,MATCH($D12,'Prior &amp; Likelihood'!$B$59:$C$59,0))*INDEX('Prior &amp; Likelihood'!$B$81:$D$81,MATCH($E12,'Prior &amp; Likelihood'!$B$77:$D$77,0))</f>
        <v>0</v>
      </c>
      <c r="K12" s="4" t="n">
        <f aca="false">'Prior &amp; Likelihood'!C9*INDEX('Prior &amp; Likelihood'!$B$28:$D$28,MATCH($B12,'Prior &amp; Likelihood'!$B$23:$D$23,0))*INDEX('Prior &amp; Likelihood'!$B$46:$D$46,MATCH($C12,'Prior &amp; Likelihood'!$B$41:$D$41,0))*INDEX('Prior &amp; Likelihood'!$B$64:$C$64,MATCH($D12,'Prior &amp; Likelihood'!$B$59:$C$59,0))*INDEX('Prior &amp; Likelihood'!$B$82:$D$82,MATCH($E12,'Prior &amp; Likelihood'!$B$77:$D$77,0))</f>
        <v>0</v>
      </c>
      <c r="L12" s="4" t="str">
        <f aca="false">INDEX({"drugA","drugB","drugC","drugX","DrugY"},MATCH(MAX(G12:K12),G12:K12,0))</f>
        <v>drugB</v>
      </c>
      <c r="M12" s="10" t="n">
        <f aca="false">IF(L12=F12,1,0)</f>
        <v>1</v>
      </c>
    </row>
    <row r="13" customFormat="false" ht="15" hidden="false" customHeight="true" outlineLevel="0" collapsed="false">
      <c r="A13" s="4" t="n">
        <v>9</v>
      </c>
      <c r="B13" s="4" t="str">
        <f aca="false">'Splitting Data'!B173</f>
        <v>YOUNG</v>
      </c>
      <c r="C13" s="4" t="str">
        <f aca="false">'Splitting Data'!C173</f>
        <v>LOW</v>
      </c>
      <c r="D13" s="4" t="str">
        <f aca="false">'Splitting Data'!D173</f>
        <v>HIGH</v>
      </c>
      <c r="E13" s="4" t="str">
        <f aca="false">'Splitting Data'!E173</f>
        <v>NORMAL</v>
      </c>
      <c r="F13" s="4" t="str">
        <f aca="false">'Splitting Data'!F173</f>
        <v>drugC</v>
      </c>
      <c r="G13" s="4" t="n">
        <f aca="false">'Prior &amp; Likelihood'!C5*INDEX('Prior &amp; Likelihood'!$B$24:$D$24,MATCH($B13,'Prior &amp; Likelihood'!$B$23:$D$23,0))*INDEX('Prior &amp; Likelihood'!$B$42:$D$42,MATCH($C13,'Prior &amp; Likelihood'!$B$41:$D$41,0))*INDEX('Prior &amp; Likelihood'!$B$60:$C$60,MATCH($D13,'Prior &amp; Likelihood'!$B$59:$C$59,0))*INDEX('Prior &amp; Likelihood'!$B$78:$D$78,MATCH($E13,'Prior &amp; Likelihood'!$B$77:$D$77,0))</f>
        <v>0</v>
      </c>
      <c r="H13" s="4" t="n">
        <f aca="false">'Prior &amp; Likelihood'!C6*INDEX('Prior &amp; Likelihood'!$B$25:$D$25,MATCH($B13,'Prior &amp; Likelihood'!$B$23:$D$23,0))*INDEX('Prior &amp; Likelihood'!$B$43:$D$43,MATCH($C13,'Prior &amp; Likelihood'!$B$41:$D$41,0))*INDEX('Prior &amp; Likelihood'!$B$61:$C$61,MATCH($D13,'Prior &amp; Likelihood'!$B$59:$C$59,0))*INDEX('Prior &amp; Likelihood'!$B$79:$D$79,MATCH($E13,'Prior &amp; Likelihood'!$B$77:$D$77,0))</f>
        <v>0</v>
      </c>
      <c r="I13" s="4" t="n">
        <f aca="false">'Prior &amp; Likelihood'!C7*INDEX('Prior &amp; Likelihood'!$B$26:$D$26,MATCH($B13,'Prior &amp; Likelihood'!$B$23:$D$23,0))*INDEX('Prior &amp; Likelihood'!$B$44:$D$44,MATCH($C13,'Prior &amp; Likelihood'!$B$41:$D$41,0))*INDEX('Prior &amp; Likelihood'!$B$62:$C$62,MATCH($D13,'Prior &amp; Likelihood'!$B$59:$C$59,0))*INDEX('Prior &amp; Likelihood'!$B$80:$D$80,MATCH($E13,'Prior &amp; Likelihood'!$B$77:$D$77,0))</f>
        <v>0.00432692307692308</v>
      </c>
      <c r="J13" s="4" t="n">
        <f aca="false">'Prior &amp; Likelihood'!C8*INDEX('Prior &amp; Likelihood'!$B$27:$D$27,MATCH($B13,'Prior &amp; Likelihood'!$B$23:$D$23,0))*INDEX('Prior &amp; Likelihood'!$B$45:$D$45,MATCH($C13,'Prior &amp; Likelihood'!$B$41:$D$41,0))*INDEX('Prior &amp; Likelihood'!$B$63:$C$63,MATCH($D13,'Prior &amp; Likelihood'!$B$59:$C$59,0))*INDEX('Prior &amp; Likelihood'!$B$81:$D$81,MATCH($E13,'Prior &amp; Likelihood'!$B$77:$D$77,0))</f>
        <v>0.00387277220873634</v>
      </c>
      <c r="K13" s="4" t="n">
        <f aca="false">'Prior &amp; Likelihood'!C9*INDEX('Prior &amp; Likelihood'!$B$28:$D$28,MATCH($B13,'Prior &amp; Likelihood'!$B$23:$D$23,0))*INDEX('Prior &amp; Likelihood'!$B$46:$D$46,MATCH($C13,'Prior &amp; Likelihood'!$B$41:$D$41,0))*INDEX('Prior &amp; Likelihood'!$B$64:$C$64,MATCH($D13,'Prior &amp; Likelihood'!$B$59:$C$59,0))*INDEX('Prior &amp; Likelihood'!$B$82:$D$82,MATCH($E13,'Prior &amp; Likelihood'!$B$77:$D$77,0))</f>
        <v>0.00530274062573101</v>
      </c>
      <c r="L13" s="4" t="str">
        <f aca="false">INDEX({"drugA","drugB","drugC","drugX","DrugY"},MATCH(MAX(G13:K13),G13:K13,0))</f>
        <v>DrugY</v>
      </c>
      <c r="M13" s="10" t="n">
        <f aca="false">IF(L13=F13,1,0)</f>
        <v>0</v>
      </c>
    </row>
    <row r="14" customFormat="false" ht="15" hidden="false" customHeight="true" outlineLevel="0" collapsed="false">
      <c r="A14" s="4" t="n">
        <v>10</v>
      </c>
      <c r="B14" s="4" t="str">
        <f aca="false">'Splitting Data'!B174</f>
        <v>YOUNG</v>
      </c>
      <c r="C14" s="4" t="str">
        <f aca="false">'Splitting Data'!C174</f>
        <v>LOW</v>
      </c>
      <c r="D14" s="4" t="str">
        <f aca="false">'Splitting Data'!D174</f>
        <v>HIGH</v>
      </c>
      <c r="E14" s="4" t="str">
        <f aca="false">'Splitting Data'!E174</f>
        <v>LOW</v>
      </c>
      <c r="F14" s="4" t="str">
        <f aca="false">'Splitting Data'!F174</f>
        <v>drugC</v>
      </c>
      <c r="G14" s="4" t="n">
        <f aca="false">'Prior &amp; Likelihood'!C5*INDEX('Prior &amp; Likelihood'!$B$24:$D$24,MATCH($B14,'Prior &amp; Likelihood'!$B$23:$D$23,0))*INDEX('Prior &amp; Likelihood'!$B$42:$D$42,MATCH($C14,'Prior &amp; Likelihood'!$B$41:$D$41,0))*INDEX('Prior &amp; Likelihood'!$B$60:$C$60,MATCH($D14,'Prior &amp; Likelihood'!$B$59:$C$59,0))*INDEX('Prior &amp; Likelihood'!$B$78:$D$78,MATCH($E14,'Prior &amp; Likelihood'!$B$77:$D$77,0))</f>
        <v>0</v>
      </c>
      <c r="H14" s="4" t="n">
        <f aca="false">'Prior &amp; Likelihood'!C6*INDEX('Prior &amp; Likelihood'!$B$25:$D$25,MATCH($B14,'Prior &amp; Likelihood'!$B$23:$D$23,0))*INDEX('Prior &amp; Likelihood'!$B$43:$D$43,MATCH($C14,'Prior &amp; Likelihood'!$B$41:$D$41,0))*INDEX('Prior &amp; Likelihood'!$B$61:$C$61,MATCH($D14,'Prior &amp; Likelihood'!$B$59:$C$59,0))*INDEX('Prior &amp; Likelihood'!$B$79:$D$79,MATCH($E14,'Prior &amp; Likelihood'!$B$77:$D$77,0))</f>
        <v>0</v>
      </c>
      <c r="I14" s="4" t="n">
        <f aca="false">'Prior &amp; Likelihood'!C7*INDEX('Prior &amp; Likelihood'!$B$26:$D$26,MATCH($B14,'Prior &amp; Likelihood'!$B$23:$D$23,0))*INDEX('Prior &amp; Likelihood'!$B$44:$D$44,MATCH($C14,'Prior &amp; Likelihood'!$B$41:$D$41,0))*INDEX('Prior &amp; Likelihood'!$B$62:$C$62,MATCH($D14,'Prior &amp; Likelihood'!$B$59:$C$59,0))*INDEX('Prior &amp; Likelihood'!$B$80:$D$80,MATCH($E14,'Prior &amp; Likelihood'!$B$77:$D$77,0))</f>
        <v>0.00144230769230769</v>
      </c>
      <c r="J14" s="4" t="n">
        <f aca="false">'Prior &amp; Likelihood'!C8*INDEX('Prior &amp; Likelihood'!$B$27:$D$27,MATCH($B14,'Prior &amp; Likelihood'!$B$23:$D$23,0))*INDEX('Prior &amp; Likelihood'!$B$45:$D$45,MATCH($C14,'Prior &amp; Likelihood'!$B$41:$D$41,0))*INDEX('Prior &amp; Likelihood'!$B$63:$C$63,MATCH($D14,'Prior &amp; Likelihood'!$B$59:$C$59,0))*INDEX('Prior &amp; Likelihood'!$B$81:$D$81,MATCH($E14,'Prior &amp; Likelihood'!$B$77:$D$77,0))</f>
        <v>0.00252572100569761</v>
      </c>
      <c r="K14" s="4" t="n">
        <f aca="false">'Prior &amp; Likelihood'!C9*INDEX('Prior &amp; Likelihood'!$B$28:$D$28,MATCH($B14,'Prior &amp; Likelihood'!$B$23:$D$23,0))*INDEX('Prior &amp; Likelihood'!$B$46:$D$46,MATCH($C14,'Prior &amp; Likelihood'!$B$41:$D$41,0))*INDEX('Prior &amp; Likelihood'!$B$64:$C$64,MATCH($D14,'Prior &amp; Likelihood'!$B$59:$C$59,0))*INDEX('Prior &amp; Likelihood'!$B$82:$D$82,MATCH($E14,'Prior &amp; Likelihood'!$B$77:$D$77,0))</f>
        <v>0</v>
      </c>
      <c r="L14" s="4" t="str">
        <f aca="false">INDEX({"drugA","drugB","drugC","drugX","DrugY"},MATCH(MAX(G14:K14),G14:K14,0))</f>
        <v>drugX</v>
      </c>
      <c r="M14" s="10" t="n">
        <f aca="false">IF(L14=F14,1,0)</f>
        <v>0</v>
      </c>
    </row>
    <row r="15" customFormat="false" ht="15" hidden="false" customHeight="true" outlineLevel="0" collapsed="false">
      <c r="A15" s="4" t="n">
        <v>11</v>
      </c>
      <c r="B15" s="4" t="str">
        <f aca="false">'Splitting Data'!B175</f>
        <v>ADULT</v>
      </c>
      <c r="C15" s="4" t="str">
        <f aca="false">'Splitting Data'!C175</f>
        <v>LOW</v>
      </c>
      <c r="D15" s="4" t="str">
        <f aca="false">'Splitting Data'!D175</f>
        <v>HIGH</v>
      </c>
      <c r="E15" s="4" t="str">
        <f aca="false">'Splitting Data'!E175</f>
        <v>NORMAL</v>
      </c>
      <c r="F15" s="4" t="str">
        <f aca="false">'Splitting Data'!F175</f>
        <v>drugC</v>
      </c>
      <c r="G15" s="4" t="n">
        <f aca="false">'Prior &amp; Likelihood'!C5*INDEX('Prior &amp; Likelihood'!$B$24:$D$24,MATCH($B15,'Prior &amp; Likelihood'!$B$23:$D$23,0))*INDEX('Prior &amp; Likelihood'!$B$42:$D$42,MATCH($C15,'Prior &amp; Likelihood'!$B$41:$D$41,0))*INDEX('Prior &amp; Likelihood'!$B$60:$C$60,MATCH($D15,'Prior &amp; Likelihood'!$B$59:$C$59,0))*INDEX('Prior &amp; Likelihood'!$B$78:$D$78,MATCH($E15,'Prior &amp; Likelihood'!$B$77:$D$77,0))</f>
        <v>0</v>
      </c>
      <c r="H15" s="4" t="n">
        <f aca="false">'Prior &amp; Likelihood'!C6*INDEX('Prior &amp; Likelihood'!$B$25:$D$25,MATCH($B15,'Prior &amp; Likelihood'!$B$23:$D$23,0))*INDEX('Prior &amp; Likelihood'!$B$43:$D$43,MATCH($C15,'Prior &amp; Likelihood'!$B$41:$D$41,0))*INDEX('Prior &amp; Likelihood'!$B$61:$C$61,MATCH($D15,'Prior &amp; Likelihood'!$B$59:$C$59,0))*INDEX('Prior &amp; Likelihood'!$B$79:$D$79,MATCH($E15,'Prior &amp; Likelihood'!$B$77:$D$77,0))</f>
        <v>0</v>
      </c>
      <c r="I15" s="4" t="n">
        <f aca="false">'Prior &amp; Likelihood'!C7*INDEX('Prior &amp; Likelihood'!$B$26:$D$26,MATCH($B15,'Prior &amp; Likelihood'!$B$23:$D$23,0))*INDEX('Prior &amp; Likelihood'!$B$44:$D$44,MATCH($C15,'Prior &amp; Likelihood'!$B$41:$D$41,0))*INDEX('Prior &amp; Likelihood'!$B$62:$C$62,MATCH($D15,'Prior &amp; Likelihood'!$B$59:$C$59,0))*INDEX('Prior &amp; Likelihood'!$B$80:$D$80,MATCH($E15,'Prior &amp; Likelihood'!$B$77:$D$77,0))</f>
        <v>0.0129807692307692</v>
      </c>
      <c r="J15" s="4" t="n">
        <f aca="false">'Prior &amp; Likelihood'!C8*INDEX('Prior &amp; Likelihood'!$B$27:$D$27,MATCH($B15,'Prior &amp; Likelihood'!$B$23:$D$23,0))*INDEX('Prior &amp; Likelihood'!$B$45:$D$45,MATCH($C15,'Prior &amp; Likelihood'!$B$41:$D$41,0))*INDEX('Prior &amp; Likelihood'!$B$63:$C$63,MATCH($D15,'Prior &amp; Likelihood'!$B$59:$C$59,0))*INDEX('Prior &amp; Likelihood'!$B$81:$D$81,MATCH($E15,'Prior &amp; Likelihood'!$B$77:$D$77,0))</f>
        <v>0.00516369627831512</v>
      </c>
      <c r="K15" s="4" t="n">
        <f aca="false">'Prior &amp; Likelihood'!C9*INDEX('Prior &amp; Likelihood'!$B$28:$D$28,MATCH($B15,'Prior &amp; Likelihood'!$B$23:$D$23,0))*INDEX('Prior &amp; Likelihood'!$B$46:$D$46,MATCH($C15,'Prior &amp; Likelihood'!$B$41:$D$41,0))*INDEX('Prior &amp; Likelihood'!$B$64:$C$64,MATCH($D15,'Prior &amp; Likelihood'!$B$59:$C$59,0))*INDEX('Prior &amp; Likelihood'!$B$82:$D$82,MATCH($E15,'Prior &amp; Likelihood'!$B$77:$D$77,0))</f>
        <v>0.0114212875015745</v>
      </c>
      <c r="L15" s="4" t="str">
        <f aca="false">INDEX({"drugA","drugB","drugC","drugX","DrugY"},MATCH(MAX(G15:K15),G15:K15,0))</f>
        <v>drugC</v>
      </c>
      <c r="M15" s="10" t="n">
        <f aca="false">IF(L15=F15,1,0)</f>
        <v>1</v>
      </c>
    </row>
    <row r="16" customFormat="false" ht="15" hidden="false" customHeight="true" outlineLevel="0" collapsed="false">
      <c r="A16" s="4" t="n">
        <v>12</v>
      </c>
      <c r="B16" s="4" t="str">
        <f aca="false">'Splitting Data'!B176</f>
        <v>YOUNG</v>
      </c>
      <c r="C16" s="4" t="str">
        <f aca="false">'Splitting Data'!C176</f>
        <v>NORMAL</v>
      </c>
      <c r="D16" s="4" t="str">
        <f aca="false">'Splitting Data'!D176</f>
        <v>HIGH</v>
      </c>
      <c r="E16" s="4" t="str">
        <f aca="false">'Splitting Data'!E176</f>
        <v>NORMAL</v>
      </c>
      <c r="F16" s="4" t="str">
        <f aca="false">'Splitting Data'!F176</f>
        <v>drugX</v>
      </c>
      <c r="G16" s="4" t="n">
        <f aca="false">'Prior &amp; Likelihood'!C5*INDEX('Prior &amp; Likelihood'!$B$24:$D$24,MATCH($B16,'Prior &amp; Likelihood'!$B$23:$D$23,0))*INDEX('Prior &amp; Likelihood'!$B$42:$D$42,MATCH($C16,'Prior &amp; Likelihood'!$B$41:$D$41,0))*INDEX('Prior &amp; Likelihood'!$B$60:$C$60,MATCH($D16,'Prior &amp; Likelihood'!$B$59:$C$59,0))*INDEX('Prior &amp; Likelihood'!$B$78:$D$78,MATCH($E16,'Prior &amp; Likelihood'!$B$77:$D$77,0))</f>
        <v>0</v>
      </c>
      <c r="H16" s="4" t="n">
        <f aca="false">'Prior &amp; Likelihood'!C6*INDEX('Prior &amp; Likelihood'!$B$25:$D$25,MATCH($B16,'Prior &amp; Likelihood'!$B$23:$D$23,0))*INDEX('Prior &amp; Likelihood'!$B$43:$D$43,MATCH($C16,'Prior &amp; Likelihood'!$B$41:$D$41,0))*INDEX('Prior &amp; Likelihood'!$B$61:$C$61,MATCH($D16,'Prior &amp; Likelihood'!$B$59:$C$59,0))*INDEX('Prior &amp; Likelihood'!$B$79:$D$79,MATCH($E16,'Prior &amp; Likelihood'!$B$77:$D$77,0))</f>
        <v>0</v>
      </c>
      <c r="I16" s="4" t="n">
        <f aca="false">'Prior &amp; Likelihood'!C7*INDEX('Prior &amp; Likelihood'!$B$26:$D$26,MATCH($B16,'Prior &amp; Likelihood'!$B$23:$D$23,0))*INDEX('Prior &amp; Likelihood'!$B$44:$D$44,MATCH($C16,'Prior &amp; Likelihood'!$B$41:$D$41,0))*INDEX('Prior &amp; Likelihood'!$B$62:$C$62,MATCH($D16,'Prior &amp; Likelihood'!$B$59:$C$59,0))*INDEX('Prior &amp; Likelihood'!$B$80:$D$80,MATCH($E16,'Prior &amp; Likelihood'!$B$77:$D$77,0))</f>
        <v>0</v>
      </c>
      <c r="J16" s="4" t="n">
        <f aca="false">'Prior &amp; Likelihood'!C8*INDEX('Prior &amp; Likelihood'!$B$27:$D$27,MATCH($B16,'Prior &amp; Likelihood'!$B$23:$D$23,0))*INDEX('Prior &amp; Likelihood'!$B$45:$D$45,MATCH($C16,'Prior &amp; Likelihood'!$B$41:$D$41,0))*INDEX('Prior &amp; Likelihood'!$B$63:$C$63,MATCH($D16,'Prior &amp; Likelihood'!$B$59:$C$59,0))*INDEX('Prior &amp; Likelihood'!$B$81:$D$81,MATCH($E16,'Prior &amp; Likelihood'!$B$77:$D$77,0))</f>
        <v>0.00802217100381098</v>
      </c>
      <c r="K16" s="4" t="n">
        <f aca="false">'Prior &amp; Likelihood'!C9*INDEX('Prior &amp; Likelihood'!$B$28:$D$28,MATCH($B16,'Prior &amp; Likelihood'!$B$23:$D$23,0))*INDEX('Prior &amp; Likelihood'!$B$46:$D$46,MATCH($C16,'Prior &amp; Likelihood'!$B$41:$D$41,0))*INDEX('Prior &amp; Likelihood'!$B$64:$C$64,MATCH($D16,'Prior &amp; Likelihood'!$B$59:$C$59,0))*INDEX('Prior &amp; Likelihood'!$B$82:$D$82,MATCH($E16,'Prior &amp; Likelihood'!$B$77:$D$77,0))</f>
        <v>0.00530274062573101</v>
      </c>
      <c r="L16" s="4" t="str">
        <f aca="false">INDEX({"drugA","drugB","drugC","drugX","DrugY"},MATCH(MAX(G16:K16),G16:K16,0))</f>
        <v>drugX</v>
      </c>
      <c r="M16" s="10" t="n">
        <f aca="false">IF(L16=F16,1,0)</f>
        <v>1</v>
      </c>
    </row>
    <row r="17" customFormat="false" ht="15" hidden="false" customHeight="true" outlineLevel="0" collapsed="false">
      <c r="A17" s="4" t="n">
        <v>13</v>
      </c>
      <c r="B17" s="4" t="str">
        <f aca="false">'Splitting Data'!B177</f>
        <v>ADULT</v>
      </c>
      <c r="C17" s="4" t="str">
        <f aca="false">'Splitting Data'!C177</f>
        <v>NORMAL</v>
      </c>
      <c r="D17" s="4" t="str">
        <f aca="false">'Splitting Data'!D177</f>
        <v>HIGH</v>
      </c>
      <c r="E17" s="4" t="str">
        <f aca="false">'Splitting Data'!E177</f>
        <v>NORMAL</v>
      </c>
      <c r="F17" s="4" t="str">
        <f aca="false">'Splitting Data'!F177</f>
        <v>drugX</v>
      </c>
      <c r="G17" s="4" t="n">
        <f aca="false">'Prior &amp; Likelihood'!C5*INDEX('Prior &amp; Likelihood'!$B$24:$D$24,MATCH($B17,'Prior &amp; Likelihood'!$B$23:$D$23,0))*INDEX('Prior &amp; Likelihood'!$B$42:$D$42,MATCH($C17,'Prior &amp; Likelihood'!$B$41:$D$41,0))*INDEX('Prior &amp; Likelihood'!$B$60:$C$60,MATCH($D17,'Prior &amp; Likelihood'!$B$59:$C$59,0))*INDEX('Prior &amp; Likelihood'!$B$78:$D$78,MATCH($E17,'Prior &amp; Likelihood'!$B$77:$D$77,0))</f>
        <v>0</v>
      </c>
      <c r="H17" s="4" t="n">
        <f aca="false">'Prior &amp; Likelihood'!C6*INDEX('Prior &amp; Likelihood'!$B$25:$D$25,MATCH($B17,'Prior &amp; Likelihood'!$B$23:$D$23,0))*INDEX('Prior &amp; Likelihood'!$B$43:$D$43,MATCH($C17,'Prior &amp; Likelihood'!$B$41:$D$41,0))*INDEX('Prior &amp; Likelihood'!$B$61:$C$61,MATCH($D17,'Prior &amp; Likelihood'!$B$59:$C$59,0))*INDEX('Prior &amp; Likelihood'!$B$79:$D$79,MATCH($E17,'Prior &amp; Likelihood'!$B$77:$D$77,0))</f>
        <v>0</v>
      </c>
      <c r="I17" s="4" t="n">
        <f aca="false">'Prior &amp; Likelihood'!C7*INDEX('Prior &amp; Likelihood'!$B$26:$D$26,MATCH($B17,'Prior &amp; Likelihood'!$B$23:$D$23,0))*INDEX('Prior &amp; Likelihood'!$B$44:$D$44,MATCH($C17,'Prior &amp; Likelihood'!$B$41:$D$41,0))*INDEX('Prior &amp; Likelihood'!$B$62:$C$62,MATCH($D17,'Prior &amp; Likelihood'!$B$59:$C$59,0))*INDEX('Prior &amp; Likelihood'!$B$80:$D$80,MATCH($E17,'Prior &amp; Likelihood'!$B$77:$D$77,0))</f>
        <v>0</v>
      </c>
      <c r="J17" s="4" t="n">
        <f aca="false">'Prior &amp; Likelihood'!C8*INDEX('Prior &amp; Likelihood'!$B$27:$D$27,MATCH($B17,'Prior &amp; Likelihood'!$B$23:$D$23,0))*INDEX('Prior &amp; Likelihood'!$B$45:$D$45,MATCH($C17,'Prior &amp; Likelihood'!$B$41:$D$41,0))*INDEX('Prior &amp; Likelihood'!$B$63:$C$63,MATCH($D17,'Prior &amp; Likelihood'!$B$59:$C$59,0))*INDEX('Prior &amp; Likelihood'!$B$81:$D$81,MATCH($E17,'Prior &amp; Likelihood'!$B$77:$D$77,0))</f>
        <v>0.0106962280050813</v>
      </c>
      <c r="K17" s="4" t="n">
        <f aca="false">'Prior &amp; Likelihood'!C9*INDEX('Prior &amp; Likelihood'!$B$28:$D$28,MATCH($B17,'Prior &amp; Likelihood'!$B$23:$D$23,0))*INDEX('Prior &amp; Likelihood'!$B$46:$D$46,MATCH($C17,'Prior &amp; Likelihood'!$B$41:$D$41,0))*INDEX('Prior &amp; Likelihood'!$B$64:$C$64,MATCH($D17,'Prior &amp; Likelihood'!$B$59:$C$59,0))*INDEX('Prior &amp; Likelihood'!$B$82:$D$82,MATCH($E17,'Prior &amp; Likelihood'!$B$77:$D$77,0))</f>
        <v>0.0114212875015745</v>
      </c>
      <c r="L17" s="4" t="str">
        <f aca="false">INDEX({"drugA","drugB","drugC","drugX","DrugY"},MATCH(MAX(G17:K17),G17:K17,0))</f>
        <v>DrugY</v>
      </c>
      <c r="M17" s="10" t="n">
        <f aca="false">IF(L17=F17,1,0)</f>
        <v>0</v>
      </c>
    </row>
    <row r="18" customFormat="false" ht="15" hidden="false" customHeight="true" outlineLevel="0" collapsed="false">
      <c r="A18" s="4" t="n">
        <v>14</v>
      </c>
      <c r="B18" s="4" t="str">
        <f aca="false">'Splitting Data'!B178</f>
        <v>ADULT</v>
      </c>
      <c r="C18" s="4" t="str">
        <f aca="false">'Splitting Data'!C178</f>
        <v>LOW</v>
      </c>
      <c r="D18" s="4" t="str">
        <f aca="false">'Splitting Data'!D178</f>
        <v>NORMAL</v>
      </c>
      <c r="E18" s="4" t="str">
        <f aca="false">'Splitting Data'!E178</f>
        <v>HIGH</v>
      </c>
      <c r="F18" s="4" t="str">
        <f aca="false">'Splitting Data'!F178</f>
        <v>drugX</v>
      </c>
      <c r="G18" s="4" t="n">
        <f aca="false">'Prior &amp; Likelihood'!C5*INDEX('Prior &amp; Likelihood'!$B$24:$D$24,MATCH($B18,'Prior &amp; Likelihood'!$B$23:$D$23,0))*INDEX('Prior &amp; Likelihood'!$B$42:$D$42,MATCH($C18,'Prior &amp; Likelihood'!$B$41:$D$41,0))*INDEX('Prior &amp; Likelihood'!$B$60:$C$60,MATCH($D18,'Prior &amp; Likelihood'!$B$59:$C$59,0))*INDEX('Prior &amp; Likelihood'!$B$78:$D$78,MATCH($E18,'Prior &amp; Likelihood'!$B$77:$D$77,0))</f>
        <v>0</v>
      </c>
      <c r="H18" s="4" t="n">
        <f aca="false">'Prior &amp; Likelihood'!C6*INDEX('Prior &amp; Likelihood'!$B$25:$D$25,MATCH($B18,'Prior &amp; Likelihood'!$B$23:$D$23,0))*INDEX('Prior &amp; Likelihood'!$B$43:$D$43,MATCH($C18,'Prior &amp; Likelihood'!$B$41:$D$41,0))*INDEX('Prior &amp; Likelihood'!$B$61:$C$61,MATCH($D18,'Prior &amp; Likelihood'!$B$59:$C$59,0))*INDEX('Prior &amp; Likelihood'!$B$79:$D$79,MATCH($E18,'Prior &amp; Likelihood'!$B$77:$D$77,0))</f>
        <v>0</v>
      </c>
      <c r="I18" s="4" t="n">
        <f aca="false">'Prior &amp; Likelihood'!C7*INDEX('Prior &amp; Likelihood'!$B$26:$D$26,MATCH($B18,'Prior &amp; Likelihood'!$B$23:$D$23,0))*INDEX('Prior &amp; Likelihood'!$B$44:$D$44,MATCH($C18,'Prior &amp; Likelihood'!$B$41:$D$41,0))*INDEX('Prior &amp; Likelihood'!$B$62:$C$62,MATCH($D18,'Prior &amp; Likelihood'!$B$59:$C$59,0))*INDEX('Prior &amp; Likelihood'!$B$80:$D$80,MATCH($E18,'Prior &amp; Likelihood'!$B$77:$D$77,0))</f>
        <v>0</v>
      </c>
      <c r="J18" s="4" t="n">
        <f aca="false">'Prior &amp; Likelihood'!C8*INDEX('Prior &amp; Likelihood'!$B$27:$D$27,MATCH($B18,'Prior &amp; Likelihood'!$B$23:$D$23,0))*INDEX('Prior &amp; Likelihood'!$B$45:$D$45,MATCH($C18,'Prior &amp; Likelihood'!$B$41:$D$41,0))*INDEX('Prior &amp; Likelihood'!$B$63:$C$63,MATCH($D18,'Prior &amp; Likelihood'!$B$59:$C$59,0))*INDEX('Prior &amp; Likelihood'!$B$81:$D$81,MATCH($E18,'Prior &amp; Likelihood'!$B$77:$D$77,0))</f>
        <v>0.0017168299646572</v>
      </c>
      <c r="K18" s="4" t="n">
        <f aca="false">'Prior &amp; Likelihood'!C9*INDEX('Prior &amp; Likelihood'!$B$28:$D$28,MATCH($B18,'Prior &amp; Likelihood'!$B$23:$D$23,0))*INDEX('Prior &amp; Likelihood'!$B$46:$D$46,MATCH($C18,'Prior &amp; Likelihood'!$B$41:$D$41,0))*INDEX('Prior &amp; Likelihood'!$B$64:$C$64,MATCH($D18,'Prior &amp; Likelihood'!$B$59:$C$59,0))*INDEX('Prior &amp; Likelihood'!$B$82:$D$82,MATCH($E18,'Prior &amp; Likelihood'!$B$77:$D$77,0))</f>
        <v>0.0134901559571947</v>
      </c>
      <c r="L18" s="4" t="str">
        <f aca="false">INDEX({"drugA","drugB","drugC","drugX","DrugY"},MATCH(MAX(G18:K18),G18:K18,0))</f>
        <v>DrugY</v>
      </c>
      <c r="M18" s="10" t="n">
        <f aca="false">IF(L18=F18,1,0)</f>
        <v>0</v>
      </c>
    </row>
    <row r="19" customFormat="false" ht="15" hidden="false" customHeight="true" outlineLevel="0" collapsed="false">
      <c r="A19" s="4" t="n">
        <v>15</v>
      </c>
      <c r="B19" s="4" t="str">
        <f aca="false">'Splitting Data'!B179</f>
        <v>ADULT</v>
      </c>
      <c r="C19" s="4" t="str">
        <f aca="false">'Splitting Data'!C179</f>
        <v>NORMAL</v>
      </c>
      <c r="D19" s="4" t="str">
        <f aca="false">'Splitting Data'!D179</f>
        <v>NORMAL</v>
      </c>
      <c r="E19" s="4" t="str">
        <f aca="false">'Splitting Data'!E179</f>
        <v>LOW</v>
      </c>
      <c r="F19" s="4" t="str">
        <f aca="false">'Splitting Data'!F179</f>
        <v>drugX</v>
      </c>
      <c r="G19" s="4" t="n">
        <f aca="false">'Prior &amp; Likelihood'!C5*INDEX('Prior &amp; Likelihood'!$B$24:$D$24,MATCH($B19,'Prior &amp; Likelihood'!$B$23:$D$23,0))*INDEX('Prior &amp; Likelihood'!$B$42:$D$42,MATCH($C19,'Prior &amp; Likelihood'!$B$41:$D$41,0))*INDEX('Prior &amp; Likelihood'!$B$60:$C$60,MATCH($D19,'Prior &amp; Likelihood'!$B$59:$C$59,0))*INDEX('Prior &amp; Likelihood'!$B$78:$D$78,MATCH($E19,'Prior &amp; Likelihood'!$B$77:$D$77,0))</f>
        <v>0</v>
      </c>
      <c r="H19" s="4" t="n">
        <f aca="false">'Prior &amp; Likelihood'!C6*INDEX('Prior &amp; Likelihood'!$B$25:$D$25,MATCH($B19,'Prior &amp; Likelihood'!$B$23:$D$23,0))*INDEX('Prior &amp; Likelihood'!$B$43:$D$43,MATCH($C19,'Prior &amp; Likelihood'!$B$41:$D$41,0))*INDEX('Prior &amp; Likelihood'!$B$61:$C$61,MATCH($D19,'Prior &amp; Likelihood'!$B$59:$C$59,0))*INDEX('Prior &amp; Likelihood'!$B$79:$D$79,MATCH($E19,'Prior &amp; Likelihood'!$B$77:$D$77,0))</f>
        <v>0</v>
      </c>
      <c r="I19" s="4" t="n">
        <f aca="false">'Prior &amp; Likelihood'!C7*INDEX('Prior &amp; Likelihood'!$B$26:$D$26,MATCH($B19,'Prior &amp; Likelihood'!$B$23:$D$23,0))*INDEX('Prior &amp; Likelihood'!$B$44:$D$44,MATCH($C19,'Prior &amp; Likelihood'!$B$41:$D$41,0))*INDEX('Prior &amp; Likelihood'!$B$62:$C$62,MATCH($D19,'Prior &amp; Likelihood'!$B$59:$C$59,0))*INDEX('Prior &amp; Likelihood'!$B$80:$D$80,MATCH($E19,'Prior &amp; Likelihood'!$B$77:$D$77,0))</f>
        <v>0</v>
      </c>
      <c r="J19" s="4" t="n">
        <f aca="false">'Prior &amp; Likelihood'!C8*INDEX('Prior &amp; Likelihood'!$B$27:$D$27,MATCH($B19,'Prior &amp; Likelihood'!$B$23:$D$23,0))*INDEX('Prior &amp; Likelihood'!$B$45:$D$45,MATCH($C19,'Prior &amp; Likelihood'!$B$41:$D$41,0))*INDEX('Prior &amp; Likelihood'!$B$63:$C$63,MATCH($D19,'Prior &amp; Likelihood'!$B$59:$C$59,0))*INDEX('Prior &amp; Likelihood'!$B$81:$D$81,MATCH($E19,'Prior &amp; Likelihood'!$B$77:$D$77,0))</f>
        <v>0.0106688719232269</v>
      </c>
      <c r="K19" s="4" t="n">
        <f aca="false">'Prior &amp; Likelihood'!C9*INDEX('Prior &amp; Likelihood'!$B$28:$D$28,MATCH($B19,'Prior &amp; Likelihood'!$B$23:$D$23,0))*INDEX('Prior &amp; Likelihood'!$B$46:$D$46,MATCH($C19,'Prior &amp; Likelihood'!$B$41:$D$41,0))*INDEX('Prior &amp; Likelihood'!$B$64:$C$64,MATCH($D19,'Prior &amp; Likelihood'!$B$59:$C$59,0))*INDEX('Prior &amp; Likelihood'!$B$82:$D$82,MATCH($E19,'Prior &amp; Likelihood'!$B$77:$D$77,0))</f>
        <v>0</v>
      </c>
      <c r="L19" s="4" t="str">
        <f aca="false">INDEX({"drugA","drugB","drugC","drugX","DrugY"},MATCH(MAX(G19:K19),G19:K19,0))</f>
        <v>drugX</v>
      </c>
      <c r="M19" s="10" t="n">
        <f aca="false">IF(L19=F19,1,0)</f>
        <v>1</v>
      </c>
    </row>
    <row r="20" customFormat="false" ht="15" hidden="false" customHeight="true" outlineLevel="0" collapsed="false">
      <c r="A20" s="4" t="n">
        <v>16</v>
      </c>
      <c r="B20" s="4" t="str">
        <f aca="false">'Splitting Data'!B180</f>
        <v>ADULT</v>
      </c>
      <c r="C20" s="4" t="str">
        <f aca="false">'Splitting Data'!C180</f>
        <v>LOW</v>
      </c>
      <c r="D20" s="4" t="str">
        <f aca="false">'Splitting Data'!D180</f>
        <v>NORMAL</v>
      </c>
      <c r="E20" s="4" t="str">
        <f aca="false">'Splitting Data'!E180</f>
        <v>NORMAL</v>
      </c>
      <c r="F20" s="4" t="str">
        <f aca="false">'Splitting Data'!F180</f>
        <v>drugX</v>
      </c>
      <c r="G20" s="4" t="n">
        <f aca="false">'Prior &amp; Likelihood'!C5*INDEX('Prior &amp; Likelihood'!$B$24:$D$24,MATCH($B20,'Prior &amp; Likelihood'!$B$23:$D$23,0))*INDEX('Prior &amp; Likelihood'!$B$42:$D$42,MATCH($C20,'Prior &amp; Likelihood'!$B$41:$D$41,0))*INDEX('Prior &amp; Likelihood'!$B$60:$C$60,MATCH($D20,'Prior &amp; Likelihood'!$B$59:$C$59,0))*INDEX('Prior &amp; Likelihood'!$B$78:$D$78,MATCH($E20,'Prior &amp; Likelihood'!$B$77:$D$77,0))</f>
        <v>0</v>
      </c>
      <c r="H20" s="4" t="n">
        <f aca="false">'Prior &amp; Likelihood'!C6*INDEX('Prior &amp; Likelihood'!$B$25:$D$25,MATCH($B20,'Prior &amp; Likelihood'!$B$23:$D$23,0))*INDEX('Prior &amp; Likelihood'!$B$43:$D$43,MATCH($C20,'Prior &amp; Likelihood'!$B$41:$D$41,0))*INDEX('Prior &amp; Likelihood'!$B$61:$C$61,MATCH($D20,'Prior &amp; Likelihood'!$B$59:$C$59,0))*INDEX('Prior &amp; Likelihood'!$B$79:$D$79,MATCH($E20,'Prior &amp; Likelihood'!$B$77:$D$77,0))</f>
        <v>0</v>
      </c>
      <c r="I20" s="4" t="n">
        <f aca="false">'Prior &amp; Likelihood'!C7*INDEX('Prior &amp; Likelihood'!$B$26:$D$26,MATCH($B20,'Prior &amp; Likelihood'!$B$23:$D$23,0))*INDEX('Prior &amp; Likelihood'!$B$44:$D$44,MATCH($C20,'Prior &amp; Likelihood'!$B$41:$D$41,0))*INDEX('Prior &amp; Likelihood'!$B$62:$C$62,MATCH($D20,'Prior &amp; Likelihood'!$B$59:$C$59,0))*INDEX('Prior &amp; Likelihood'!$B$80:$D$80,MATCH($E20,'Prior &amp; Likelihood'!$B$77:$D$77,0))</f>
        <v>0</v>
      </c>
      <c r="J20" s="4" t="n">
        <f aca="false">'Prior &amp; Likelihood'!C8*INDEX('Prior &amp; Likelihood'!$B$27:$D$27,MATCH($B20,'Prior &amp; Likelihood'!$B$23:$D$23,0))*INDEX('Prior &amp; Likelihood'!$B$45:$D$45,MATCH($C20,'Prior &amp; Likelihood'!$B$41:$D$41,0))*INDEX('Prior &amp; Likelihood'!$B$63:$C$63,MATCH($D20,'Prior &amp; Likelihood'!$B$59:$C$59,0))*INDEX('Prior &amp; Likelihood'!$B$81:$D$81,MATCH($E20,'Prior &amp; Likelihood'!$B$77:$D$77,0))</f>
        <v>0.00789741783742312</v>
      </c>
      <c r="K20" s="4" t="n">
        <f aca="false">'Prior &amp; Likelihood'!C9*INDEX('Prior &amp; Likelihood'!$B$28:$D$28,MATCH($B20,'Prior &amp; Likelihood'!$B$23:$D$23,0))*INDEX('Prior &amp; Likelihood'!$B$46:$D$46,MATCH($C20,'Prior &amp; Likelihood'!$B$41:$D$41,0))*INDEX('Prior &amp; Likelihood'!$B$64:$C$64,MATCH($D20,'Prior &amp; Likelihood'!$B$59:$C$59,0))*INDEX('Prior &amp; Likelihood'!$B$82:$D$82,MATCH($E20,'Prior &amp; Likelihood'!$B$77:$D$77,0))</f>
        <v>0.00995701987316749</v>
      </c>
      <c r="L20" s="4" t="str">
        <f aca="false">INDEX({"drugA","drugB","drugC","drugX","DrugY"},MATCH(MAX(G20:K20),G20:K20,0))</f>
        <v>DrugY</v>
      </c>
      <c r="M20" s="10" t="n">
        <f aca="false">IF(L20=F20,1,0)</f>
        <v>0</v>
      </c>
    </row>
    <row r="21" customFormat="false" ht="15" hidden="false" customHeight="true" outlineLevel="0" collapsed="false">
      <c r="A21" s="4" t="n">
        <v>17</v>
      </c>
      <c r="B21" s="4" t="str">
        <f aca="false">'Splitting Data'!B181</f>
        <v>OLD</v>
      </c>
      <c r="C21" s="4" t="str">
        <f aca="false">'Splitting Data'!C181</f>
        <v>NORMAL</v>
      </c>
      <c r="D21" s="4" t="str">
        <f aca="false">'Splitting Data'!D181</f>
        <v>NORMAL</v>
      </c>
      <c r="E21" s="4" t="str">
        <f aca="false">'Splitting Data'!E181</f>
        <v>LOW</v>
      </c>
      <c r="F21" s="4" t="str">
        <f aca="false">'Splitting Data'!F181</f>
        <v>drugX</v>
      </c>
      <c r="G21" s="4" t="n">
        <f aca="false">'Prior &amp; Likelihood'!C5*INDEX('Prior &amp; Likelihood'!$B$24:$D$24,MATCH($B21,'Prior &amp; Likelihood'!$B$23:$D$23,0))*INDEX('Prior &amp; Likelihood'!$B$42:$D$42,MATCH($C21,'Prior &amp; Likelihood'!$B$41:$D$41,0))*INDEX('Prior &amp; Likelihood'!$B$60:$C$60,MATCH($D21,'Prior &amp; Likelihood'!$B$59:$C$59,0))*INDEX('Prior &amp; Likelihood'!$B$78:$D$78,MATCH($E21,'Prior &amp; Likelihood'!$B$77:$D$77,0))</f>
        <v>0</v>
      </c>
      <c r="H21" s="4" t="n">
        <f aca="false">'Prior &amp; Likelihood'!C6*INDEX('Prior &amp; Likelihood'!$B$25:$D$25,MATCH($B21,'Prior &amp; Likelihood'!$B$23:$D$23,0))*INDEX('Prior &amp; Likelihood'!$B$43:$D$43,MATCH($C21,'Prior &amp; Likelihood'!$B$41:$D$41,0))*INDEX('Prior &amp; Likelihood'!$B$61:$C$61,MATCH($D21,'Prior &amp; Likelihood'!$B$59:$C$59,0))*INDEX('Prior &amp; Likelihood'!$B$79:$D$79,MATCH($E21,'Prior &amp; Likelihood'!$B$77:$D$77,0))</f>
        <v>0</v>
      </c>
      <c r="I21" s="4" t="n">
        <f aca="false">'Prior &amp; Likelihood'!C7*INDEX('Prior &amp; Likelihood'!$B$26:$D$26,MATCH($B21,'Prior &amp; Likelihood'!$B$23:$D$23,0))*INDEX('Prior &amp; Likelihood'!$B$44:$D$44,MATCH($C21,'Prior &amp; Likelihood'!$B$41:$D$41,0))*INDEX('Prior &amp; Likelihood'!$B$62:$C$62,MATCH($D21,'Prior &amp; Likelihood'!$B$59:$C$59,0))*INDEX('Prior &amp; Likelihood'!$B$80:$D$80,MATCH($E21,'Prior &amp; Likelihood'!$B$77:$D$77,0))</f>
        <v>0</v>
      </c>
      <c r="J21" s="4" t="n">
        <f aca="false">'Prior &amp; Likelihood'!C8*INDEX('Prior &amp; Likelihood'!$B$27:$D$27,MATCH($B21,'Prior &amp; Likelihood'!$B$23:$D$23,0))*INDEX('Prior &amp; Likelihood'!$B$45:$D$45,MATCH($C21,'Prior &amp; Likelihood'!$B$41:$D$41,0))*INDEX('Prior &amp; Likelihood'!$B$63:$C$63,MATCH($D21,'Prior &amp; Likelihood'!$B$59:$C$59,0))*INDEX('Prior &amp; Likelihood'!$B$81:$D$81,MATCH($E21,'Prior &amp; Likelihood'!$B$77:$D$77,0))</f>
        <v>0.019559598525916</v>
      </c>
      <c r="K21" s="4" t="n">
        <f aca="false">'Prior &amp; Likelihood'!C9*INDEX('Prior &amp; Likelihood'!$B$28:$D$28,MATCH($B21,'Prior &amp; Likelihood'!$B$23:$D$23,0))*INDEX('Prior &amp; Likelihood'!$B$46:$D$46,MATCH($C21,'Prior &amp; Likelihood'!$B$41:$D$41,0))*INDEX('Prior &amp; Likelihood'!$B$64:$C$64,MATCH($D21,'Prior &amp; Likelihood'!$B$59:$C$59,0))*INDEX('Prior &amp; Likelihood'!$B$82:$D$82,MATCH($E21,'Prior &amp; Likelihood'!$B$77:$D$77,0))</f>
        <v>0</v>
      </c>
      <c r="L21" s="4" t="str">
        <f aca="false">INDEX({"drugA","drugB","drugC","drugX","DrugY"},MATCH(MAX(G21:K21),G21:K21,0))</f>
        <v>drugX</v>
      </c>
      <c r="M21" s="10" t="n">
        <f aca="false">IF(L21=F21,1,0)</f>
        <v>1</v>
      </c>
    </row>
    <row r="22" customFormat="false" ht="15" hidden="false" customHeight="true" outlineLevel="0" collapsed="false">
      <c r="A22" s="4" t="n">
        <v>18</v>
      </c>
      <c r="B22" s="4" t="str">
        <f aca="false">'Splitting Data'!B182</f>
        <v>OLD</v>
      </c>
      <c r="C22" s="4" t="str">
        <f aca="false">'Splitting Data'!C182</f>
        <v>LOW</v>
      </c>
      <c r="D22" s="4" t="str">
        <f aca="false">'Splitting Data'!D182</f>
        <v>NORMAL</v>
      </c>
      <c r="E22" s="4" t="str">
        <f aca="false">'Splitting Data'!E182</f>
        <v>NORMAL</v>
      </c>
      <c r="F22" s="4" t="str">
        <f aca="false">'Splitting Data'!F182</f>
        <v>drugX</v>
      </c>
      <c r="G22" s="4" t="n">
        <f aca="false">'Prior &amp; Likelihood'!C5*INDEX('Prior &amp; Likelihood'!$B$24:$D$24,MATCH($B22,'Prior &amp; Likelihood'!$B$23:$D$23,0))*INDEX('Prior &amp; Likelihood'!$B$42:$D$42,MATCH($C22,'Prior &amp; Likelihood'!$B$41:$D$41,0))*INDEX('Prior &amp; Likelihood'!$B$60:$C$60,MATCH($D22,'Prior &amp; Likelihood'!$B$59:$C$59,0))*INDEX('Prior &amp; Likelihood'!$B$78:$D$78,MATCH($E22,'Prior &amp; Likelihood'!$B$77:$D$77,0))</f>
        <v>0</v>
      </c>
      <c r="H22" s="4" t="n">
        <f aca="false">'Prior &amp; Likelihood'!C6*INDEX('Prior &amp; Likelihood'!$B$25:$D$25,MATCH($B22,'Prior &amp; Likelihood'!$B$23:$D$23,0))*INDEX('Prior &amp; Likelihood'!$B$43:$D$43,MATCH($C22,'Prior &amp; Likelihood'!$B$41:$D$41,0))*INDEX('Prior &amp; Likelihood'!$B$61:$C$61,MATCH($D22,'Prior &amp; Likelihood'!$B$59:$C$59,0))*INDEX('Prior &amp; Likelihood'!$B$79:$D$79,MATCH($E22,'Prior &amp; Likelihood'!$B$77:$D$77,0))</f>
        <v>0</v>
      </c>
      <c r="I22" s="4" t="n">
        <f aca="false">'Prior &amp; Likelihood'!C7*INDEX('Prior &amp; Likelihood'!$B$26:$D$26,MATCH($B22,'Prior &amp; Likelihood'!$B$23:$D$23,0))*INDEX('Prior &amp; Likelihood'!$B$44:$D$44,MATCH($C22,'Prior &amp; Likelihood'!$B$41:$D$41,0))*INDEX('Prior &amp; Likelihood'!$B$62:$C$62,MATCH($D22,'Prior &amp; Likelihood'!$B$59:$C$59,0))*INDEX('Prior &amp; Likelihood'!$B$80:$D$80,MATCH($E22,'Prior &amp; Likelihood'!$B$77:$D$77,0))</f>
        <v>0</v>
      </c>
      <c r="J22" s="4" t="n">
        <f aca="false">'Prior &amp; Likelihood'!C8*INDEX('Prior &amp; Likelihood'!$B$27:$D$27,MATCH($B22,'Prior &amp; Likelihood'!$B$23:$D$23,0))*INDEX('Prior &amp; Likelihood'!$B$45:$D$45,MATCH($C22,'Prior &amp; Likelihood'!$B$41:$D$41,0))*INDEX('Prior &amp; Likelihood'!$B$63:$C$63,MATCH($D22,'Prior &amp; Likelihood'!$B$59:$C$59,0))*INDEX('Prior &amp; Likelihood'!$B$81:$D$81,MATCH($E22,'Prior &amp; Likelihood'!$B$77:$D$77,0))</f>
        <v>0.0144785993686091</v>
      </c>
      <c r="K22" s="4" t="n">
        <f aca="false">'Prior &amp; Likelihood'!C9*INDEX('Prior &amp; Likelihood'!$B$28:$D$28,MATCH($B22,'Prior &amp; Likelihood'!$B$23:$D$23,0))*INDEX('Prior &amp; Likelihood'!$B$46:$D$46,MATCH($C22,'Prior &amp; Likelihood'!$B$41:$D$41,0))*INDEX('Prior &amp; Likelihood'!$B$64:$C$64,MATCH($D22,'Prior &amp; Likelihood'!$B$59:$C$59,0))*INDEX('Prior &amp; Likelihood'!$B$82:$D$82,MATCH($E22,'Prior &amp; Likelihood'!$B$77:$D$77,0))</f>
        <v>0.01137945128362</v>
      </c>
      <c r="L22" s="4" t="str">
        <f aca="false">INDEX({"drugA","drugB","drugC","drugX","DrugY"},MATCH(MAX(G22:K22),G22:K22,0))</f>
        <v>drugX</v>
      </c>
      <c r="M22" s="10" t="n">
        <f aca="false">IF(L22=F22,1,0)</f>
        <v>1</v>
      </c>
    </row>
    <row r="23" customFormat="false" ht="15" hidden="false" customHeight="true" outlineLevel="0" collapsed="false">
      <c r="A23" s="4" t="n">
        <v>19</v>
      </c>
      <c r="B23" s="4" t="str">
        <f aca="false">'Splitting Data'!B183</f>
        <v>OLD</v>
      </c>
      <c r="C23" s="4" t="str">
        <f aca="false">'Splitting Data'!C183</f>
        <v>NORMAL</v>
      </c>
      <c r="D23" s="4" t="str">
        <f aca="false">'Splitting Data'!D183</f>
        <v>HIGH</v>
      </c>
      <c r="E23" s="4" t="str">
        <f aca="false">'Splitting Data'!E183</f>
        <v>NORMAL</v>
      </c>
      <c r="F23" s="4" t="str">
        <f aca="false">'Splitting Data'!F183</f>
        <v>drugX</v>
      </c>
      <c r="G23" s="4" t="n">
        <f aca="false">'Prior &amp; Likelihood'!C5*INDEX('Prior &amp; Likelihood'!$B$24:$D$24,MATCH($B23,'Prior &amp; Likelihood'!$B$23:$D$23,0))*INDEX('Prior &amp; Likelihood'!$B$42:$D$42,MATCH($C23,'Prior &amp; Likelihood'!$B$41:$D$41,0))*INDEX('Prior &amp; Likelihood'!$B$60:$C$60,MATCH($D23,'Prior &amp; Likelihood'!$B$59:$C$59,0))*INDEX('Prior &amp; Likelihood'!$B$78:$D$78,MATCH($E23,'Prior &amp; Likelihood'!$B$77:$D$77,0))</f>
        <v>0</v>
      </c>
      <c r="H23" s="4" t="n">
        <f aca="false">'Prior &amp; Likelihood'!C6*INDEX('Prior &amp; Likelihood'!$B$25:$D$25,MATCH($B23,'Prior &amp; Likelihood'!$B$23:$D$23,0))*INDEX('Prior &amp; Likelihood'!$B$43:$D$43,MATCH($C23,'Prior &amp; Likelihood'!$B$41:$D$41,0))*INDEX('Prior &amp; Likelihood'!$B$61:$C$61,MATCH($D23,'Prior &amp; Likelihood'!$B$59:$C$59,0))*INDEX('Prior &amp; Likelihood'!$B$79:$D$79,MATCH($E23,'Prior &amp; Likelihood'!$B$77:$D$77,0))</f>
        <v>0</v>
      </c>
      <c r="I23" s="4" t="n">
        <f aca="false">'Prior &amp; Likelihood'!C7*INDEX('Prior &amp; Likelihood'!$B$26:$D$26,MATCH($B23,'Prior &amp; Likelihood'!$B$23:$D$23,0))*INDEX('Prior &amp; Likelihood'!$B$44:$D$44,MATCH($C23,'Prior &amp; Likelihood'!$B$41:$D$41,0))*INDEX('Prior &amp; Likelihood'!$B$62:$C$62,MATCH($D23,'Prior &amp; Likelihood'!$B$59:$C$59,0))*INDEX('Prior &amp; Likelihood'!$B$80:$D$80,MATCH($E23,'Prior &amp; Likelihood'!$B$77:$D$77,0))</f>
        <v>0</v>
      </c>
      <c r="J23" s="4" t="n">
        <f aca="false">'Prior &amp; Likelihood'!C8*INDEX('Prior &amp; Likelihood'!$B$27:$D$27,MATCH($B23,'Prior &amp; Likelihood'!$B$23:$D$23,0))*INDEX('Prior &amp; Likelihood'!$B$45:$D$45,MATCH($C23,'Prior &amp; Likelihood'!$B$41:$D$41,0))*INDEX('Prior &amp; Likelihood'!$B$63:$C$63,MATCH($D23,'Prior &amp; Likelihood'!$B$59:$C$59,0))*INDEX('Prior &amp; Likelihood'!$B$81:$D$81,MATCH($E23,'Prior &amp; Likelihood'!$B$77:$D$77,0))</f>
        <v>0.0196097513426491</v>
      </c>
      <c r="K23" s="4" t="n">
        <f aca="false">'Prior &amp; Likelihood'!C9*INDEX('Prior &amp; Likelihood'!$B$28:$D$28,MATCH($B23,'Prior &amp; Likelihood'!$B$23:$D$23,0))*INDEX('Prior &amp; Likelihood'!$B$46:$D$46,MATCH($C23,'Prior &amp; Likelihood'!$B$41:$D$41,0))*INDEX('Prior &amp; Likelihood'!$B$64:$C$64,MATCH($D23,'Prior &amp; Likelihood'!$B$59:$C$59,0))*INDEX('Prior &amp; Likelihood'!$B$82:$D$82,MATCH($E23,'Prior &amp; Likelihood'!$B$77:$D$77,0))</f>
        <v>0.0130529000017994</v>
      </c>
      <c r="L23" s="4" t="str">
        <f aca="false">INDEX({"drugA","drugB","drugC","drugX","DrugY"},MATCH(MAX(G23:K23),G23:K23,0))</f>
        <v>drugX</v>
      </c>
      <c r="M23" s="10" t="n">
        <f aca="false">IF(L23=F23,1,0)</f>
        <v>1</v>
      </c>
    </row>
    <row r="24" customFormat="false" ht="15" hidden="false" customHeight="true" outlineLevel="0" collapsed="false">
      <c r="A24" s="4" t="n">
        <v>20</v>
      </c>
      <c r="B24" s="4" t="str">
        <f aca="false">'Splitting Data'!B184</f>
        <v>OLD</v>
      </c>
      <c r="C24" s="4" t="str">
        <f aca="false">'Splitting Data'!C184</f>
        <v>NORMAL</v>
      </c>
      <c r="D24" s="4" t="str">
        <f aca="false">'Splitting Data'!D184</f>
        <v>NORMAL</v>
      </c>
      <c r="E24" s="4" t="str">
        <f aca="false">'Splitting Data'!E184</f>
        <v>LOW</v>
      </c>
      <c r="F24" s="4" t="str">
        <f aca="false">'Splitting Data'!F184</f>
        <v>drugX</v>
      </c>
      <c r="G24" s="4" t="n">
        <f aca="false">'Prior &amp; Likelihood'!C5*INDEX('Prior &amp; Likelihood'!$B$24:$D$24,MATCH($B24,'Prior &amp; Likelihood'!$B$23:$D$23,0))*INDEX('Prior &amp; Likelihood'!$B$42:$D$42,MATCH($C24,'Prior &amp; Likelihood'!$B$41:$D$41,0))*INDEX('Prior &amp; Likelihood'!$B$60:$C$60,MATCH($D24,'Prior &amp; Likelihood'!$B$59:$C$59,0))*INDEX('Prior &amp; Likelihood'!$B$78:$D$78,MATCH($E24,'Prior &amp; Likelihood'!$B$77:$D$77,0))</f>
        <v>0</v>
      </c>
      <c r="H24" s="4" t="n">
        <f aca="false">'Prior &amp; Likelihood'!C6*INDEX('Prior &amp; Likelihood'!$B$25:$D$25,MATCH($B24,'Prior &amp; Likelihood'!$B$23:$D$23,0))*INDEX('Prior &amp; Likelihood'!$B$43:$D$43,MATCH($C24,'Prior &amp; Likelihood'!$B$41:$D$41,0))*INDEX('Prior &amp; Likelihood'!$B$61:$C$61,MATCH($D24,'Prior &amp; Likelihood'!$B$59:$C$59,0))*INDEX('Prior &amp; Likelihood'!$B$79:$D$79,MATCH($E24,'Prior &amp; Likelihood'!$B$77:$D$77,0))</f>
        <v>0</v>
      </c>
      <c r="I24" s="4" t="n">
        <f aca="false">'Prior &amp; Likelihood'!C7*INDEX('Prior &amp; Likelihood'!$B$26:$D$26,MATCH($B24,'Prior &amp; Likelihood'!$B$23:$D$23,0))*INDEX('Prior &amp; Likelihood'!$B$44:$D$44,MATCH($C24,'Prior &amp; Likelihood'!$B$41:$D$41,0))*INDEX('Prior &amp; Likelihood'!$B$62:$C$62,MATCH($D24,'Prior &amp; Likelihood'!$B$59:$C$59,0))*INDEX('Prior &amp; Likelihood'!$B$80:$D$80,MATCH($E24,'Prior &amp; Likelihood'!$B$77:$D$77,0))</f>
        <v>0</v>
      </c>
      <c r="J24" s="4" t="n">
        <f aca="false">'Prior &amp; Likelihood'!C8*INDEX('Prior &amp; Likelihood'!$B$27:$D$27,MATCH($B24,'Prior &amp; Likelihood'!$B$23:$D$23,0))*INDEX('Prior &amp; Likelihood'!$B$45:$D$45,MATCH($C24,'Prior &amp; Likelihood'!$B$41:$D$41,0))*INDEX('Prior &amp; Likelihood'!$B$63:$C$63,MATCH($D24,'Prior &amp; Likelihood'!$B$59:$C$59,0))*INDEX('Prior &amp; Likelihood'!$B$81:$D$81,MATCH($E24,'Prior &amp; Likelihood'!$B$77:$D$77,0))</f>
        <v>0.019559598525916</v>
      </c>
      <c r="K24" s="4" t="n">
        <f aca="false">'Prior &amp; Likelihood'!C9*INDEX('Prior &amp; Likelihood'!$B$28:$D$28,MATCH($B24,'Prior &amp; Likelihood'!$B$23:$D$23,0))*INDEX('Prior &amp; Likelihood'!$B$46:$D$46,MATCH($C24,'Prior &amp; Likelihood'!$B$41:$D$41,0))*INDEX('Prior &amp; Likelihood'!$B$64:$C$64,MATCH($D24,'Prior &amp; Likelihood'!$B$59:$C$59,0))*INDEX('Prior &amp; Likelihood'!$B$82:$D$82,MATCH($E24,'Prior &amp; Likelihood'!$B$77:$D$77,0))</f>
        <v>0</v>
      </c>
      <c r="L24" s="4" t="str">
        <f aca="false">INDEX({"drugA","drugB","drugC","drugX","DrugY"},MATCH(MAX(G24:K24),G24:K24,0))</f>
        <v>drugX</v>
      </c>
      <c r="M24" s="10" t="n">
        <f aca="false">IF(L24=F24,1,0)</f>
        <v>1</v>
      </c>
    </row>
    <row r="25" customFormat="false" ht="15" hidden="false" customHeight="true" outlineLevel="0" collapsed="false">
      <c r="A25" s="4" t="n">
        <v>21</v>
      </c>
      <c r="B25" s="4" t="str">
        <f aca="false">'Splitting Data'!B185</f>
        <v>OLD</v>
      </c>
      <c r="C25" s="4" t="str">
        <f aca="false">'Splitting Data'!C185</f>
        <v>NORMAL</v>
      </c>
      <c r="D25" s="4" t="str">
        <f aca="false">'Splitting Data'!D185</f>
        <v>NORMAL</v>
      </c>
      <c r="E25" s="4" t="str">
        <f aca="false">'Splitting Data'!E185</f>
        <v>NORMAL</v>
      </c>
      <c r="F25" s="4" t="str">
        <f aca="false">'Splitting Data'!F185</f>
        <v>drugX</v>
      </c>
      <c r="G25" s="4" t="n">
        <f aca="false">'Prior &amp; Likelihood'!C5*INDEX('Prior &amp; Likelihood'!$B$24:$D$24,MATCH($B25,'Prior &amp; Likelihood'!$B$23:$D$23,0))*INDEX('Prior &amp; Likelihood'!$B$42:$D$42,MATCH($C25,'Prior &amp; Likelihood'!$B$41:$D$41,0))*INDEX('Prior &amp; Likelihood'!$B$60:$C$60,MATCH($D25,'Prior &amp; Likelihood'!$B$59:$C$59,0))*INDEX('Prior &amp; Likelihood'!$B$78:$D$78,MATCH($E25,'Prior &amp; Likelihood'!$B$77:$D$77,0))</f>
        <v>0</v>
      </c>
      <c r="H25" s="4" t="n">
        <f aca="false">'Prior &amp; Likelihood'!C6*INDEX('Prior &amp; Likelihood'!$B$25:$D$25,MATCH($B25,'Prior &amp; Likelihood'!$B$23:$D$23,0))*INDEX('Prior &amp; Likelihood'!$B$43:$D$43,MATCH($C25,'Prior &amp; Likelihood'!$B$41:$D$41,0))*INDEX('Prior &amp; Likelihood'!$B$61:$C$61,MATCH($D25,'Prior &amp; Likelihood'!$B$59:$C$59,0))*INDEX('Prior &amp; Likelihood'!$B$79:$D$79,MATCH($E25,'Prior &amp; Likelihood'!$B$77:$D$77,0))</f>
        <v>0</v>
      </c>
      <c r="I25" s="4" t="n">
        <f aca="false">'Prior &amp; Likelihood'!C7*INDEX('Prior &amp; Likelihood'!$B$26:$D$26,MATCH($B25,'Prior &amp; Likelihood'!$B$23:$D$23,0))*INDEX('Prior &amp; Likelihood'!$B$44:$D$44,MATCH($C25,'Prior &amp; Likelihood'!$B$41:$D$41,0))*INDEX('Prior &amp; Likelihood'!$B$62:$C$62,MATCH($D25,'Prior &amp; Likelihood'!$B$59:$C$59,0))*INDEX('Prior &amp; Likelihood'!$B$80:$D$80,MATCH($E25,'Prior &amp; Likelihood'!$B$77:$D$77,0))</f>
        <v>0</v>
      </c>
      <c r="J25" s="4" t="n">
        <f aca="false">'Prior &amp; Likelihood'!C8*INDEX('Prior &amp; Likelihood'!$B$27:$D$27,MATCH($B25,'Prior &amp; Likelihood'!$B$23:$D$23,0))*INDEX('Prior &amp; Likelihood'!$B$45:$D$45,MATCH($C25,'Prior &amp; Likelihood'!$B$41:$D$41,0))*INDEX('Prior &amp; Likelihood'!$B$63:$C$63,MATCH($D25,'Prior &amp; Likelihood'!$B$59:$C$59,0))*INDEX('Prior &amp; Likelihood'!$B$81:$D$81,MATCH($E25,'Prior &amp; Likelihood'!$B$77:$D$77,0))</f>
        <v>0.0299913844064045</v>
      </c>
      <c r="K25" s="4" t="n">
        <f aca="false">'Prior &amp; Likelihood'!C9*INDEX('Prior &amp; Likelihood'!$B$28:$D$28,MATCH($B25,'Prior &amp; Likelihood'!$B$23:$D$23,0))*INDEX('Prior &amp; Likelihood'!$B$46:$D$46,MATCH($C25,'Prior &amp; Likelihood'!$B$41:$D$41,0))*INDEX('Prior &amp; Likelihood'!$B$64:$C$64,MATCH($D25,'Prior &amp; Likelihood'!$B$59:$C$59,0))*INDEX('Prior &amp; Likelihood'!$B$82:$D$82,MATCH($E25,'Prior &amp; Likelihood'!$B$77:$D$77,0))</f>
        <v>0.01137945128362</v>
      </c>
      <c r="L25" s="4" t="str">
        <f aca="false">INDEX({"drugA","drugB","drugC","drugX","DrugY"},MATCH(MAX(G25:K25),G25:K25,0))</f>
        <v>drugX</v>
      </c>
      <c r="M25" s="10" t="n">
        <f aca="false">IF(L25=F25,1,0)</f>
        <v>1</v>
      </c>
    </row>
    <row r="26" customFormat="false" ht="15" hidden="false" customHeight="true" outlineLevel="0" collapsed="false">
      <c r="A26" s="4" t="n">
        <v>22</v>
      </c>
      <c r="B26" s="4" t="str">
        <f aca="false">'Splitting Data'!B186</f>
        <v>OLD</v>
      </c>
      <c r="C26" s="4" t="str">
        <f aca="false">'Splitting Data'!C186</f>
        <v>LOW</v>
      </c>
      <c r="D26" s="4" t="str">
        <f aca="false">'Splitting Data'!D186</f>
        <v>NORMAL</v>
      </c>
      <c r="E26" s="4" t="str">
        <f aca="false">'Splitting Data'!E186</f>
        <v>HIGH</v>
      </c>
      <c r="F26" s="4" t="str">
        <f aca="false">'Splitting Data'!F186</f>
        <v>drugX</v>
      </c>
      <c r="G26" s="4" t="n">
        <f aca="false">'Prior &amp; Likelihood'!C5*INDEX('Prior &amp; Likelihood'!$B$24:$D$24,MATCH($B26,'Prior &amp; Likelihood'!$B$23:$D$23,0))*INDEX('Prior &amp; Likelihood'!$B$42:$D$42,MATCH($C26,'Prior &amp; Likelihood'!$B$41:$D$41,0))*INDEX('Prior &amp; Likelihood'!$B$60:$C$60,MATCH($D26,'Prior &amp; Likelihood'!$B$59:$C$59,0))*INDEX('Prior &amp; Likelihood'!$B$78:$D$78,MATCH($E26,'Prior &amp; Likelihood'!$B$77:$D$77,0))</f>
        <v>0</v>
      </c>
      <c r="H26" s="4" t="n">
        <f aca="false">'Prior &amp; Likelihood'!C6*INDEX('Prior &amp; Likelihood'!$B$25:$D$25,MATCH($B26,'Prior &amp; Likelihood'!$B$23:$D$23,0))*INDEX('Prior &amp; Likelihood'!$B$43:$D$43,MATCH($C26,'Prior &amp; Likelihood'!$B$41:$D$41,0))*INDEX('Prior &amp; Likelihood'!$B$61:$C$61,MATCH($D26,'Prior &amp; Likelihood'!$B$59:$C$59,0))*INDEX('Prior &amp; Likelihood'!$B$79:$D$79,MATCH($E26,'Prior &amp; Likelihood'!$B$77:$D$77,0))</f>
        <v>0</v>
      </c>
      <c r="I26" s="4" t="n">
        <f aca="false">'Prior &amp; Likelihood'!C7*INDEX('Prior &amp; Likelihood'!$B$26:$D$26,MATCH($B26,'Prior &amp; Likelihood'!$B$23:$D$23,0))*INDEX('Prior &amp; Likelihood'!$B$44:$D$44,MATCH($C26,'Prior &amp; Likelihood'!$B$41:$D$41,0))*INDEX('Prior &amp; Likelihood'!$B$62:$C$62,MATCH($D26,'Prior &amp; Likelihood'!$B$59:$C$59,0))*INDEX('Prior &amp; Likelihood'!$B$80:$D$80,MATCH($E26,'Prior &amp; Likelihood'!$B$77:$D$77,0))</f>
        <v>0</v>
      </c>
      <c r="J26" s="4" t="n">
        <f aca="false">'Prior &amp; Likelihood'!C8*INDEX('Prior &amp; Likelihood'!$B$27:$D$27,MATCH($B26,'Prior &amp; Likelihood'!$B$23:$D$23,0))*INDEX('Prior &amp; Likelihood'!$B$45:$D$45,MATCH($C26,'Prior &amp; Likelihood'!$B$41:$D$41,0))*INDEX('Prior &amp; Likelihood'!$B$63:$C$63,MATCH($D26,'Prior &amp; Likelihood'!$B$59:$C$59,0))*INDEX('Prior &amp; Likelihood'!$B$81:$D$81,MATCH($E26,'Prior &amp; Likelihood'!$B$77:$D$77,0))</f>
        <v>0.00314752160187153</v>
      </c>
      <c r="K26" s="4" t="n">
        <f aca="false">'Prior &amp; Likelihood'!C9*INDEX('Prior &amp; Likelihood'!$B$28:$D$28,MATCH($B26,'Prior &amp; Likelihood'!$B$23:$D$23,0))*INDEX('Prior &amp; Likelihood'!$B$46:$D$46,MATCH($C26,'Prior &amp; Likelihood'!$B$41:$D$41,0))*INDEX('Prior &amp; Likelihood'!$B$64:$C$64,MATCH($D26,'Prior &amp; Likelihood'!$B$59:$C$59,0))*INDEX('Prior &amp; Likelihood'!$B$82:$D$82,MATCH($E26,'Prior &amp; Likelihood'!$B$77:$D$77,0))</f>
        <v>0.0154173210939368</v>
      </c>
      <c r="L26" s="4" t="str">
        <f aca="false">INDEX({"drugA","drugB","drugC","drugX","DrugY"},MATCH(MAX(G26:K26),G26:K26,0))</f>
        <v>DrugY</v>
      </c>
      <c r="M26" s="10" t="n">
        <f aca="false">IF(L26=F26,1,0)</f>
        <v>0</v>
      </c>
    </row>
    <row r="27" customFormat="false" ht="15" hidden="false" customHeight="true" outlineLevel="0" collapsed="false">
      <c r="A27" s="4" t="n">
        <v>23</v>
      </c>
      <c r="B27" s="4" t="str">
        <f aca="false">'Splitting Data'!B187</f>
        <v>YOUNG</v>
      </c>
      <c r="C27" s="4" t="str">
        <f aca="false">'Splitting Data'!C187</f>
        <v>HIGH</v>
      </c>
      <c r="D27" s="4" t="str">
        <f aca="false">'Splitting Data'!D187</f>
        <v>NORMAL</v>
      </c>
      <c r="E27" s="4" t="str">
        <f aca="false">'Splitting Data'!E187</f>
        <v>NORMAL</v>
      </c>
      <c r="F27" s="4" t="str">
        <f aca="false">'Splitting Data'!F187</f>
        <v>DrugY</v>
      </c>
      <c r="G27" s="4" t="n">
        <f aca="false">'Prior &amp; Likelihood'!C5*INDEX('Prior &amp; Likelihood'!$B$24:$D$24,MATCH($B27,'Prior &amp; Likelihood'!$B$23:$D$23,0))*INDEX('Prior &amp; Likelihood'!$B$42:$D$42,MATCH($C27,'Prior &amp; Likelihood'!$B$41:$D$41,0))*INDEX('Prior &amp; Likelihood'!$B$60:$C$60,MATCH($D27,'Prior &amp; Likelihood'!$B$59:$C$59,0))*INDEX('Prior &amp; Likelihood'!$B$78:$D$78,MATCH($E27,'Prior &amp; Likelihood'!$B$77:$D$77,0))</f>
        <v>0.00636574074074074</v>
      </c>
      <c r="H27" s="4" t="n">
        <f aca="false">'Prior &amp; Likelihood'!C6*INDEX('Prior &amp; Likelihood'!$B$25:$D$25,MATCH($B27,'Prior &amp; Likelihood'!$B$23:$D$23,0))*INDEX('Prior &amp; Likelihood'!$B$43:$D$43,MATCH($C27,'Prior &amp; Likelihood'!$B$41:$D$41,0))*INDEX('Prior &amp; Likelihood'!$B$61:$C$61,MATCH($D27,'Prior &amp; Likelihood'!$B$59:$C$59,0))*INDEX('Prior &amp; Likelihood'!$B$79:$D$79,MATCH($E27,'Prior &amp; Likelihood'!$B$77:$D$77,0))</f>
        <v>0</v>
      </c>
      <c r="I27" s="4" t="n">
        <f aca="false">'Prior &amp; Likelihood'!C7*INDEX('Prior &amp; Likelihood'!$B$26:$D$26,MATCH($B27,'Prior &amp; Likelihood'!$B$23:$D$23,0))*INDEX('Prior &amp; Likelihood'!$B$44:$D$44,MATCH($C27,'Prior &amp; Likelihood'!$B$41:$D$41,0))*INDEX('Prior &amp; Likelihood'!$B$62:$C$62,MATCH($D27,'Prior &amp; Likelihood'!$B$59:$C$59,0))*INDEX('Prior &amp; Likelihood'!$B$80:$D$80,MATCH($E27,'Prior &amp; Likelihood'!$B$77:$D$77,0))</f>
        <v>0</v>
      </c>
      <c r="J27" s="4" t="n">
        <f aca="false">'Prior &amp; Likelihood'!C8*INDEX('Prior &amp; Likelihood'!$B$27:$D$27,MATCH($B27,'Prior &amp; Likelihood'!$B$23:$D$23,0))*INDEX('Prior &amp; Likelihood'!$B$45:$D$45,MATCH($C27,'Prior &amp; Likelihood'!$B$41:$D$41,0))*INDEX('Prior &amp; Likelihood'!$B$63:$C$63,MATCH($D27,'Prior &amp; Likelihood'!$B$59:$C$59,0))*INDEX('Prior &amp; Likelihood'!$B$81:$D$81,MATCH($E27,'Prior &amp; Likelihood'!$B$77:$D$77,0))</f>
        <v>0</v>
      </c>
      <c r="K27" s="4" t="n">
        <f aca="false">'Prior &amp; Likelihood'!C9*INDEX('Prior &amp; Likelihood'!$B$28:$D$28,MATCH($B27,'Prior &amp; Likelihood'!$B$23:$D$23,0))*INDEX('Prior &amp; Likelihood'!$B$46:$D$46,MATCH($C27,'Prior &amp; Likelihood'!$B$41:$D$41,0))*INDEX('Prior &amp; Likelihood'!$B$64:$C$64,MATCH($D27,'Prior &amp; Likelihood'!$B$59:$C$59,0))*INDEX('Prior &amp; Likelihood'!$B$82:$D$82,MATCH($E27,'Prior &amp; Likelihood'!$B$77:$D$77,0))</f>
        <v>0.00682428402871854</v>
      </c>
      <c r="L27" s="4" t="str">
        <f aca="false">INDEX({"drugA","drugB","drugC","drugX","DrugY"},MATCH(MAX(G27:K27),G27:K27,0))</f>
        <v>DrugY</v>
      </c>
      <c r="M27" s="10" t="n">
        <f aca="false">IF(L27=F27,1,0)</f>
        <v>1</v>
      </c>
    </row>
    <row r="28" customFormat="false" ht="15" hidden="false" customHeight="true" outlineLevel="0" collapsed="false">
      <c r="A28" s="4" t="n">
        <v>24</v>
      </c>
      <c r="B28" s="4" t="str">
        <f aca="false">'Splitting Data'!B188</f>
        <v>YOUNG</v>
      </c>
      <c r="C28" s="4" t="str">
        <f aca="false">'Splitting Data'!C188</f>
        <v>HIGH</v>
      </c>
      <c r="D28" s="4" t="str">
        <f aca="false">'Splitting Data'!D188</f>
        <v>NORMAL</v>
      </c>
      <c r="E28" s="4" t="str">
        <f aca="false">'Splitting Data'!E188</f>
        <v>NORMAL</v>
      </c>
      <c r="F28" s="4" t="str">
        <f aca="false">'Splitting Data'!F188</f>
        <v>DrugY</v>
      </c>
      <c r="G28" s="4" t="n">
        <f aca="false">'Prior &amp; Likelihood'!C5*INDEX('Prior &amp; Likelihood'!$B$24:$D$24,MATCH($B28,'Prior &amp; Likelihood'!$B$23:$D$23,0))*INDEX('Prior &amp; Likelihood'!$B$42:$D$42,MATCH($C28,'Prior &amp; Likelihood'!$B$41:$D$41,0))*INDEX('Prior &amp; Likelihood'!$B$60:$C$60,MATCH($D28,'Prior &amp; Likelihood'!$B$59:$C$59,0))*INDEX('Prior &amp; Likelihood'!$B$78:$D$78,MATCH($E28,'Prior &amp; Likelihood'!$B$77:$D$77,0))</f>
        <v>0.00636574074074074</v>
      </c>
      <c r="H28" s="4" t="n">
        <f aca="false">'Prior &amp; Likelihood'!C6*INDEX('Prior &amp; Likelihood'!$B$25:$D$25,MATCH($B28,'Prior &amp; Likelihood'!$B$23:$D$23,0))*INDEX('Prior &amp; Likelihood'!$B$43:$D$43,MATCH($C28,'Prior &amp; Likelihood'!$B$41:$D$41,0))*INDEX('Prior &amp; Likelihood'!$B$61:$C$61,MATCH($D28,'Prior &amp; Likelihood'!$B$59:$C$59,0))*INDEX('Prior &amp; Likelihood'!$B$79:$D$79,MATCH($E28,'Prior &amp; Likelihood'!$B$77:$D$77,0))</f>
        <v>0</v>
      </c>
      <c r="I28" s="4" t="n">
        <f aca="false">'Prior &amp; Likelihood'!C7*INDEX('Prior &amp; Likelihood'!$B$26:$D$26,MATCH($B28,'Prior &amp; Likelihood'!$B$23:$D$23,0))*INDEX('Prior &amp; Likelihood'!$B$44:$D$44,MATCH($C28,'Prior &amp; Likelihood'!$B$41:$D$41,0))*INDEX('Prior &amp; Likelihood'!$B$62:$C$62,MATCH($D28,'Prior &amp; Likelihood'!$B$59:$C$59,0))*INDEX('Prior &amp; Likelihood'!$B$80:$D$80,MATCH($E28,'Prior &amp; Likelihood'!$B$77:$D$77,0))</f>
        <v>0</v>
      </c>
      <c r="J28" s="4" t="n">
        <f aca="false">'Prior &amp; Likelihood'!C8*INDEX('Prior &amp; Likelihood'!$B$27:$D$27,MATCH($B28,'Prior &amp; Likelihood'!$B$23:$D$23,0))*INDEX('Prior &amp; Likelihood'!$B$45:$D$45,MATCH($C28,'Prior &amp; Likelihood'!$B$41:$D$41,0))*INDEX('Prior &amp; Likelihood'!$B$63:$C$63,MATCH($D28,'Prior &amp; Likelihood'!$B$59:$C$59,0))*INDEX('Prior &amp; Likelihood'!$B$81:$D$81,MATCH($E28,'Prior &amp; Likelihood'!$B$77:$D$77,0))</f>
        <v>0</v>
      </c>
      <c r="K28" s="4" t="n">
        <f aca="false">'Prior &amp; Likelihood'!C9*INDEX('Prior &amp; Likelihood'!$B$28:$D$28,MATCH($B28,'Prior &amp; Likelihood'!$B$23:$D$23,0))*INDEX('Prior &amp; Likelihood'!$B$46:$D$46,MATCH($C28,'Prior &amp; Likelihood'!$B$41:$D$41,0))*INDEX('Prior &amp; Likelihood'!$B$64:$C$64,MATCH($D28,'Prior &amp; Likelihood'!$B$59:$C$59,0))*INDEX('Prior &amp; Likelihood'!$B$82:$D$82,MATCH($E28,'Prior &amp; Likelihood'!$B$77:$D$77,0))</f>
        <v>0.00682428402871854</v>
      </c>
      <c r="L28" s="4" t="str">
        <f aca="false">INDEX({"drugA","drugB","drugC","drugX","DrugY"},MATCH(MAX(G28:K28),G28:K28,0))</f>
        <v>DrugY</v>
      </c>
      <c r="M28" s="10" t="n">
        <f aca="false">IF(L28=F28,1,0)</f>
        <v>1</v>
      </c>
    </row>
    <row r="29" customFormat="false" ht="15" hidden="false" customHeight="true" outlineLevel="0" collapsed="false">
      <c r="A29" s="4" t="n">
        <v>25</v>
      </c>
      <c r="B29" s="4" t="str">
        <f aca="false">'Splitting Data'!B189</f>
        <v>YOUNG</v>
      </c>
      <c r="C29" s="4" t="str">
        <f aca="false">'Splitting Data'!C189</f>
        <v>HIGH</v>
      </c>
      <c r="D29" s="4" t="str">
        <f aca="false">'Splitting Data'!D189</f>
        <v>NORMAL</v>
      </c>
      <c r="E29" s="4" t="str">
        <f aca="false">'Splitting Data'!E189</f>
        <v>NORMAL</v>
      </c>
      <c r="F29" s="4" t="str">
        <f aca="false">'Splitting Data'!F189</f>
        <v>DrugY</v>
      </c>
      <c r="G29" s="4" t="n">
        <f aca="false">'Prior &amp; Likelihood'!C5*INDEX('Prior &amp; Likelihood'!$B$24:$D$24,MATCH($B29,'Prior &amp; Likelihood'!$B$23:$D$23,0))*INDEX('Prior &amp; Likelihood'!$B$42:$D$42,MATCH($C29,'Prior &amp; Likelihood'!$B$41:$D$41,0))*INDEX('Prior &amp; Likelihood'!$B$60:$C$60,MATCH($D29,'Prior &amp; Likelihood'!$B$59:$C$59,0))*INDEX('Prior &amp; Likelihood'!$B$78:$D$78,MATCH($E29,'Prior &amp; Likelihood'!$B$77:$D$77,0))</f>
        <v>0.00636574074074074</v>
      </c>
      <c r="H29" s="4" t="n">
        <f aca="false">'Prior &amp; Likelihood'!C6*INDEX('Prior &amp; Likelihood'!$B$25:$D$25,MATCH($B29,'Prior &amp; Likelihood'!$B$23:$D$23,0))*INDEX('Prior &amp; Likelihood'!$B$43:$D$43,MATCH($C29,'Prior &amp; Likelihood'!$B$41:$D$41,0))*INDEX('Prior &amp; Likelihood'!$B$61:$C$61,MATCH($D29,'Prior &amp; Likelihood'!$B$59:$C$59,0))*INDEX('Prior &amp; Likelihood'!$B$79:$D$79,MATCH($E29,'Prior &amp; Likelihood'!$B$77:$D$77,0))</f>
        <v>0</v>
      </c>
      <c r="I29" s="4" t="n">
        <f aca="false">'Prior &amp; Likelihood'!C7*INDEX('Prior &amp; Likelihood'!$B$26:$D$26,MATCH($B29,'Prior &amp; Likelihood'!$B$23:$D$23,0))*INDEX('Prior &amp; Likelihood'!$B$44:$D$44,MATCH($C29,'Prior &amp; Likelihood'!$B$41:$D$41,0))*INDEX('Prior &amp; Likelihood'!$B$62:$C$62,MATCH($D29,'Prior &amp; Likelihood'!$B$59:$C$59,0))*INDEX('Prior &amp; Likelihood'!$B$80:$D$80,MATCH($E29,'Prior &amp; Likelihood'!$B$77:$D$77,0))</f>
        <v>0</v>
      </c>
      <c r="J29" s="4" t="n">
        <f aca="false">'Prior &amp; Likelihood'!C8*INDEX('Prior &amp; Likelihood'!$B$27:$D$27,MATCH($B29,'Prior &amp; Likelihood'!$B$23:$D$23,0))*INDEX('Prior &amp; Likelihood'!$B$45:$D$45,MATCH($C29,'Prior &amp; Likelihood'!$B$41:$D$41,0))*INDEX('Prior &amp; Likelihood'!$B$63:$C$63,MATCH($D29,'Prior &amp; Likelihood'!$B$59:$C$59,0))*INDEX('Prior &amp; Likelihood'!$B$81:$D$81,MATCH($E29,'Prior &amp; Likelihood'!$B$77:$D$77,0))</f>
        <v>0</v>
      </c>
      <c r="K29" s="4" t="n">
        <f aca="false">'Prior &amp; Likelihood'!C9*INDEX('Prior &amp; Likelihood'!$B$28:$D$28,MATCH($B29,'Prior &amp; Likelihood'!$B$23:$D$23,0))*INDEX('Prior &amp; Likelihood'!$B$46:$D$46,MATCH($C29,'Prior &amp; Likelihood'!$B$41:$D$41,0))*INDEX('Prior &amp; Likelihood'!$B$64:$C$64,MATCH($D29,'Prior &amp; Likelihood'!$B$59:$C$59,0))*INDEX('Prior &amp; Likelihood'!$B$82:$D$82,MATCH($E29,'Prior &amp; Likelihood'!$B$77:$D$77,0))</f>
        <v>0.00682428402871854</v>
      </c>
      <c r="L29" s="4" t="str">
        <f aca="false">INDEX({"drugA","drugB","drugC","drugX","DrugY"},MATCH(MAX(G29:K29),G29:K29,0))</f>
        <v>DrugY</v>
      </c>
      <c r="M29" s="10" t="n">
        <f aca="false">IF(L29=F29,1,0)</f>
        <v>1</v>
      </c>
    </row>
    <row r="30" customFormat="false" ht="15" hidden="false" customHeight="true" outlineLevel="0" collapsed="false">
      <c r="A30" s="4" t="n">
        <v>26</v>
      </c>
      <c r="B30" s="4" t="str">
        <f aca="false">'Splitting Data'!B190</f>
        <v>ADULT</v>
      </c>
      <c r="C30" s="4" t="str">
        <f aca="false">'Splitting Data'!C190</f>
        <v>NORMAL</v>
      </c>
      <c r="D30" s="4" t="str">
        <f aca="false">'Splitting Data'!D190</f>
        <v>HIGH</v>
      </c>
      <c r="E30" s="4" t="str">
        <f aca="false">'Splitting Data'!E190</f>
        <v>NORMAL</v>
      </c>
      <c r="F30" s="4" t="str">
        <f aca="false">'Splitting Data'!F190</f>
        <v>DrugY</v>
      </c>
      <c r="G30" s="4" t="n">
        <f aca="false">'Prior &amp; Likelihood'!C5*INDEX('Prior &amp; Likelihood'!$B$24:$D$24,MATCH($B30,'Prior &amp; Likelihood'!$B$23:$D$23,0))*INDEX('Prior &amp; Likelihood'!$B$42:$D$42,MATCH($C30,'Prior &amp; Likelihood'!$B$41:$D$41,0))*INDEX('Prior &amp; Likelihood'!$B$60:$C$60,MATCH($D30,'Prior &amp; Likelihood'!$B$59:$C$59,0))*INDEX('Prior &amp; Likelihood'!$B$78:$D$78,MATCH($E30,'Prior &amp; Likelihood'!$B$77:$D$77,0))</f>
        <v>0</v>
      </c>
      <c r="H30" s="4" t="n">
        <f aca="false">'Prior &amp; Likelihood'!C6*INDEX('Prior &amp; Likelihood'!$B$25:$D$25,MATCH($B30,'Prior &amp; Likelihood'!$B$23:$D$23,0))*INDEX('Prior &amp; Likelihood'!$B$43:$D$43,MATCH($C30,'Prior &amp; Likelihood'!$B$41:$D$41,0))*INDEX('Prior &amp; Likelihood'!$B$61:$C$61,MATCH($D30,'Prior &amp; Likelihood'!$B$59:$C$59,0))*INDEX('Prior &amp; Likelihood'!$B$79:$D$79,MATCH($E30,'Prior &amp; Likelihood'!$B$77:$D$77,0))</f>
        <v>0</v>
      </c>
      <c r="I30" s="4" t="n">
        <f aca="false">'Prior &amp; Likelihood'!C7*INDEX('Prior &amp; Likelihood'!$B$26:$D$26,MATCH($B30,'Prior &amp; Likelihood'!$B$23:$D$23,0))*INDEX('Prior &amp; Likelihood'!$B$44:$D$44,MATCH($C30,'Prior &amp; Likelihood'!$B$41:$D$41,0))*INDEX('Prior &amp; Likelihood'!$B$62:$C$62,MATCH($D30,'Prior &amp; Likelihood'!$B$59:$C$59,0))*INDEX('Prior &amp; Likelihood'!$B$80:$D$80,MATCH($E30,'Prior &amp; Likelihood'!$B$77:$D$77,0))</f>
        <v>0</v>
      </c>
      <c r="J30" s="4" t="n">
        <f aca="false">'Prior &amp; Likelihood'!C8*INDEX('Prior &amp; Likelihood'!$B$27:$D$27,MATCH($B30,'Prior &amp; Likelihood'!$B$23:$D$23,0))*INDEX('Prior &amp; Likelihood'!$B$45:$D$45,MATCH($C30,'Prior &amp; Likelihood'!$B$41:$D$41,0))*INDEX('Prior &amp; Likelihood'!$B$63:$C$63,MATCH($D30,'Prior &amp; Likelihood'!$B$59:$C$59,0))*INDEX('Prior &amp; Likelihood'!$B$81:$D$81,MATCH($E30,'Prior &amp; Likelihood'!$B$77:$D$77,0))</f>
        <v>0.0106962280050813</v>
      </c>
      <c r="K30" s="4" t="n">
        <f aca="false">'Prior &amp; Likelihood'!C9*INDEX('Prior &amp; Likelihood'!$B$28:$D$28,MATCH($B30,'Prior &amp; Likelihood'!$B$23:$D$23,0))*INDEX('Prior &amp; Likelihood'!$B$46:$D$46,MATCH($C30,'Prior &amp; Likelihood'!$B$41:$D$41,0))*INDEX('Prior &amp; Likelihood'!$B$64:$C$64,MATCH($D30,'Prior &amp; Likelihood'!$B$59:$C$59,0))*INDEX('Prior &amp; Likelihood'!$B$82:$D$82,MATCH($E30,'Prior &amp; Likelihood'!$B$77:$D$77,0))</f>
        <v>0.0114212875015745</v>
      </c>
      <c r="L30" s="4" t="str">
        <f aca="false">INDEX({"drugA","drugB","drugC","drugX","DrugY"},MATCH(MAX(G30:K30),G30:K30,0))</f>
        <v>DrugY</v>
      </c>
      <c r="M30" s="10" t="n">
        <f aca="false">IF(L30=F30,1,0)</f>
        <v>1</v>
      </c>
    </row>
    <row r="31" customFormat="false" ht="15" hidden="false" customHeight="true" outlineLevel="0" collapsed="false">
      <c r="A31" s="4" t="n">
        <v>27</v>
      </c>
      <c r="B31" s="4" t="str">
        <f aca="false">'Splitting Data'!B191</f>
        <v>ADULT</v>
      </c>
      <c r="C31" s="4" t="str">
        <f aca="false">'Splitting Data'!C191</f>
        <v>LOW</v>
      </c>
      <c r="D31" s="4" t="str">
        <f aca="false">'Splitting Data'!D191</f>
        <v>HIGH</v>
      </c>
      <c r="E31" s="4" t="str">
        <f aca="false">'Splitting Data'!E191</f>
        <v>NORMAL</v>
      </c>
      <c r="F31" s="4" t="str">
        <f aca="false">'Splitting Data'!F191</f>
        <v>DrugY</v>
      </c>
      <c r="G31" s="4" t="n">
        <f aca="false">'Prior &amp; Likelihood'!C5*INDEX('Prior &amp; Likelihood'!$B$24:$D$24,MATCH($B31,'Prior &amp; Likelihood'!$B$23:$D$23,0))*INDEX('Prior &amp; Likelihood'!$B$42:$D$42,MATCH($C31,'Prior &amp; Likelihood'!$B$41:$D$41,0))*INDEX('Prior &amp; Likelihood'!$B$60:$C$60,MATCH($D31,'Prior &amp; Likelihood'!$B$59:$C$59,0))*INDEX('Prior &amp; Likelihood'!$B$78:$D$78,MATCH($E31,'Prior &amp; Likelihood'!$B$77:$D$77,0))</f>
        <v>0</v>
      </c>
      <c r="H31" s="4" t="n">
        <f aca="false">'Prior &amp; Likelihood'!C6*INDEX('Prior &amp; Likelihood'!$B$25:$D$25,MATCH($B31,'Prior &amp; Likelihood'!$B$23:$D$23,0))*INDEX('Prior &amp; Likelihood'!$B$43:$D$43,MATCH($C31,'Prior &amp; Likelihood'!$B$41:$D$41,0))*INDEX('Prior &amp; Likelihood'!$B$61:$C$61,MATCH($D31,'Prior &amp; Likelihood'!$B$59:$C$59,0))*INDEX('Prior &amp; Likelihood'!$B$79:$D$79,MATCH($E31,'Prior &amp; Likelihood'!$B$77:$D$77,0))</f>
        <v>0</v>
      </c>
      <c r="I31" s="4" t="n">
        <f aca="false">'Prior &amp; Likelihood'!C7*INDEX('Prior &amp; Likelihood'!$B$26:$D$26,MATCH($B31,'Prior &amp; Likelihood'!$B$23:$D$23,0))*INDEX('Prior &amp; Likelihood'!$B$44:$D$44,MATCH($C31,'Prior &amp; Likelihood'!$B$41:$D$41,0))*INDEX('Prior &amp; Likelihood'!$B$62:$C$62,MATCH($D31,'Prior &amp; Likelihood'!$B$59:$C$59,0))*INDEX('Prior &amp; Likelihood'!$B$80:$D$80,MATCH($E31,'Prior &amp; Likelihood'!$B$77:$D$77,0))</f>
        <v>0.0129807692307692</v>
      </c>
      <c r="J31" s="4" t="n">
        <f aca="false">'Prior &amp; Likelihood'!C8*INDEX('Prior &amp; Likelihood'!$B$27:$D$27,MATCH($B31,'Prior &amp; Likelihood'!$B$23:$D$23,0))*INDEX('Prior &amp; Likelihood'!$B$45:$D$45,MATCH($C31,'Prior &amp; Likelihood'!$B$41:$D$41,0))*INDEX('Prior &amp; Likelihood'!$B$63:$C$63,MATCH($D31,'Prior &amp; Likelihood'!$B$59:$C$59,0))*INDEX('Prior &amp; Likelihood'!$B$81:$D$81,MATCH($E31,'Prior &amp; Likelihood'!$B$77:$D$77,0))</f>
        <v>0.00516369627831512</v>
      </c>
      <c r="K31" s="4" t="n">
        <f aca="false">'Prior &amp; Likelihood'!C9*INDEX('Prior &amp; Likelihood'!$B$28:$D$28,MATCH($B31,'Prior &amp; Likelihood'!$B$23:$D$23,0))*INDEX('Prior &amp; Likelihood'!$B$46:$D$46,MATCH($C31,'Prior &amp; Likelihood'!$B$41:$D$41,0))*INDEX('Prior &amp; Likelihood'!$B$64:$C$64,MATCH($D31,'Prior &amp; Likelihood'!$B$59:$C$59,0))*INDEX('Prior &amp; Likelihood'!$B$82:$D$82,MATCH($E31,'Prior &amp; Likelihood'!$B$77:$D$77,0))</f>
        <v>0.0114212875015745</v>
      </c>
      <c r="L31" s="4" t="str">
        <f aca="false">INDEX({"drugA","drugB","drugC","drugX","DrugY"},MATCH(MAX(G31:K31),G31:K31,0))</f>
        <v>drugC</v>
      </c>
      <c r="M31" s="10" t="n">
        <f aca="false">IF(L31=F31,1,0)</f>
        <v>0</v>
      </c>
    </row>
    <row r="32" customFormat="false" ht="15" hidden="false" customHeight="true" outlineLevel="0" collapsed="false">
      <c r="A32" s="4" t="n">
        <v>28</v>
      </c>
      <c r="B32" s="4" t="str">
        <f aca="false">'Splitting Data'!B192</f>
        <v>ADULT</v>
      </c>
      <c r="C32" s="4" t="str">
        <f aca="false">'Splitting Data'!C192</f>
        <v>HIGH</v>
      </c>
      <c r="D32" s="4" t="str">
        <f aca="false">'Splitting Data'!D192</f>
        <v>HIGH</v>
      </c>
      <c r="E32" s="4" t="str">
        <f aca="false">'Splitting Data'!E192</f>
        <v>HIGH</v>
      </c>
      <c r="F32" s="4" t="str">
        <f aca="false">'Splitting Data'!F192</f>
        <v>DrugY</v>
      </c>
      <c r="G32" s="4" t="n">
        <f aca="false">'Prior &amp; Likelihood'!C5*INDEX('Prior &amp; Likelihood'!$B$24:$D$24,MATCH($B32,'Prior &amp; Likelihood'!$B$23:$D$23,0))*INDEX('Prior &amp; Likelihood'!$B$42:$D$42,MATCH($C32,'Prior &amp; Likelihood'!$B$41:$D$41,0))*INDEX('Prior &amp; Likelihood'!$B$60:$C$60,MATCH($D32,'Prior &amp; Likelihood'!$B$59:$C$59,0))*INDEX('Prior &amp; Likelihood'!$B$78:$D$78,MATCH($E32,'Prior &amp; Likelihood'!$B$77:$D$77,0))</f>
        <v>0.00308641975308642</v>
      </c>
      <c r="H32" s="4" t="n">
        <f aca="false">'Prior &amp; Likelihood'!C6*INDEX('Prior &amp; Likelihood'!$B$25:$D$25,MATCH($B32,'Prior &amp; Likelihood'!$B$23:$D$23,0))*INDEX('Prior &amp; Likelihood'!$B$43:$D$43,MATCH($C32,'Prior &amp; Likelihood'!$B$41:$D$41,0))*INDEX('Prior &amp; Likelihood'!$B$61:$C$61,MATCH($D32,'Prior &amp; Likelihood'!$B$59:$C$59,0))*INDEX('Prior &amp; Likelihood'!$B$79:$D$79,MATCH($E32,'Prior &amp; Likelihood'!$B$77:$D$77,0))</f>
        <v>0</v>
      </c>
      <c r="I32" s="4" t="n">
        <f aca="false">'Prior &amp; Likelihood'!C7*INDEX('Prior &amp; Likelihood'!$B$26:$D$26,MATCH($B32,'Prior &amp; Likelihood'!$B$23:$D$23,0))*INDEX('Prior &amp; Likelihood'!$B$44:$D$44,MATCH($C32,'Prior &amp; Likelihood'!$B$41:$D$41,0))*INDEX('Prior &amp; Likelihood'!$B$62:$C$62,MATCH($D32,'Prior &amp; Likelihood'!$B$59:$C$59,0))*INDEX('Prior &amp; Likelihood'!$B$80:$D$80,MATCH($E32,'Prior &amp; Likelihood'!$B$77:$D$77,0))</f>
        <v>0</v>
      </c>
      <c r="J32" s="4" t="n">
        <f aca="false">'Prior &amp; Likelihood'!C8*INDEX('Prior &amp; Likelihood'!$B$27:$D$27,MATCH($B32,'Prior &amp; Likelihood'!$B$23:$D$23,0))*INDEX('Prior &amp; Likelihood'!$B$45:$D$45,MATCH($C32,'Prior &amp; Likelihood'!$B$41:$D$41,0))*INDEX('Prior &amp; Likelihood'!$B$63:$C$63,MATCH($D32,'Prior &amp; Likelihood'!$B$59:$C$59,0))*INDEX('Prior &amp; Likelihood'!$B$81:$D$81,MATCH($E32,'Prior &amp; Likelihood'!$B$77:$D$77,0))</f>
        <v>0</v>
      </c>
      <c r="K32" s="4" t="n">
        <f aca="false">'Prior &amp; Likelihood'!C9*INDEX('Prior &amp; Likelihood'!$B$28:$D$28,MATCH($B32,'Prior &amp; Likelihood'!$B$23:$D$23,0))*INDEX('Prior &amp; Likelihood'!$B$46:$D$46,MATCH($C32,'Prior &amp; Likelihood'!$B$41:$D$41,0))*INDEX('Prior &amp; Likelihood'!$B$64:$C$64,MATCH($D32,'Prior &amp; Likelihood'!$B$59:$C$59,0))*INDEX('Prior &amp; Likelihood'!$B$82:$D$82,MATCH($E32,'Prior &amp; Likelihood'!$B$77:$D$77,0))</f>
        <v>0.022842575003149</v>
      </c>
      <c r="L32" s="4" t="str">
        <f aca="false">INDEX({"drugA","drugB","drugC","drugX","DrugY"},MATCH(MAX(G32:K32),G32:K32,0))</f>
        <v>DrugY</v>
      </c>
      <c r="M32" s="10" t="n">
        <f aca="false">IF(L32=F32,1,0)</f>
        <v>1</v>
      </c>
    </row>
    <row r="33" customFormat="false" ht="15" hidden="false" customHeight="true" outlineLevel="0" collapsed="false">
      <c r="A33" s="4" t="n">
        <v>29</v>
      </c>
      <c r="B33" s="4" t="str">
        <f aca="false">'Splitting Data'!B193</f>
        <v>ADULT</v>
      </c>
      <c r="C33" s="4" t="str">
        <f aca="false">'Splitting Data'!C193</f>
        <v>HIGH</v>
      </c>
      <c r="D33" s="4" t="str">
        <f aca="false">'Splitting Data'!D193</f>
        <v>NORMAL</v>
      </c>
      <c r="E33" s="4" t="str">
        <f aca="false">'Splitting Data'!E193</f>
        <v>NORMAL</v>
      </c>
      <c r="F33" s="4" t="str">
        <f aca="false">'Splitting Data'!F193</f>
        <v>DrugY</v>
      </c>
      <c r="G33" s="4" t="n">
        <f aca="false">'Prior &amp; Likelihood'!C5*INDEX('Prior &amp; Likelihood'!$B$24:$D$24,MATCH($B33,'Prior &amp; Likelihood'!$B$23:$D$23,0))*INDEX('Prior &amp; Likelihood'!$B$42:$D$42,MATCH($C33,'Prior &amp; Likelihood'!$B$41:$D$41,0))*INDEX('Prior &amp; Likelihood'!$B$60:$C$60,MATCH($D33,'Prior &amp; Likelihood'!$B$59:$C$59,0))*INDEX('Prior &amp; Likelihood'!$B$78:$D$78,MATCH($E33,'Prior &amp; Likelihood'!$B$77:$D$77,0))</f>
        <v>0.0212191358024691</v>
      </c>
      <c r="H33" s="4" t="n">
        <f aca="false">'Prior &amp; Likelihood'!C6*INDEX('Prior &amp; Likelihood'!$B$25:$D$25,MATCH($B33,'Prior &amp; Likelihood'!$B$23:$D$23,0))*INDEX('Prior &amp; Likelihood'!$B$43:$D$43,MATCH($C33,'Prior &amp; Likelihood'!$B$41:$D$41,0))*INDEX('Prior &amp; Likelihood'!$B$61:$C$61,MATCH($D33,'Prior &amp; Likelihood'!$B$59:$C$59,0))*INDEX('Prior &amp; Likelihood'!$B$79:$D$79,MATCH($E33,'Prior &amp; Likelihood'!$B$77:$D$77,0))</f>
        <v>0</v>
      </c>
      <c r="I33" s="4" t="n">
        <f aca="false">'Prior &amp; Likelihood'!C7*INDEX('Prior &amp; Likelihood'!$B$26:$D$26,MATCH($B33,'Prior &amp; Likelihood'!$B$23:$D$23,0))*INDEX('Prior &amp; Likelihood'!$B$44:$D$44,MATCH($C33,'Prior &amp; Likelihood'!$B$41:$D$41,0))*INDEX('Prior &amp; Likelihood'!$B$62:$C$62,MATCH($D33,'Prior &amp; Likelihood'!$B$59:$C$59,0))*INDEX('Prior &amp; Likelihood'!$B$80:$D$80,MATCH($E33,'Prior &amp; Likelihood'!$B$77:$D$77,0))</f>
        <v>0</v>
      </c>
      <c r="J33" s="4" t="n">
        <f aca="false">'Prior &amp; Likelihood'!C8*INDEX('Prior &amp; Likelihood'!$B$27:$D$27,MATCH($B33,'Prior &amp; Likelihood'!$B$23:$D$23,0))*INDEX('Prior &amp; Likelihood'!$B$45:$D$45,MATCH($C33,'Prior &amp; Likelihood'!$B$41:$D$41,0))*INDEX('Prior &amp; Likelihood'!$B$63:$C$63,MATCH($D33,'Prior &amp; Likelihood'!$B$59:$C$59,0))*INDEX('Prior &amp; Likelihood'!$B$81:$D$81,MATCH($E33,'Prior &amp; Likelihood'!$B$77:$D$77,0))</f>
        <v>0</v>
      </c>
      <c r="K33" s="4" t="n">
        <f aca="false">'Prior &amp; Likelihood'!C9*INDEX('Prior &amp; Likelihood'!$B$28:$D$28,MATCH($B33,'Prior &amp; Likelihood'!$B$23:$D$23,0))*INDEX('Prior &amp; Likelihood'!$B$46:$D$46,MATCH($C33,'Prior &amp; Likelihood'!$B$41:$D$41,0))*INDEX('Prior &amp; Likelihood'!$B$64:$C$64,MATCH($D33,'Prior &amp; Likelihood'!$B$59:$C$59,0))*INDEX('Prior &amp; Likelihood'!$B$82:$D$82,MATCH($E33,'Prior &amp; Likelihood'!$B$77:$D$77,0))</f>
        <v>0.0146984579080092</v>
      </c>
      <c r="L33" s="4" t="str">
        <f aca="false">INDEX({"drugA","drugB","drugC","drugX","DrugY"},MATCH(MAX(G33:K33),G33:K33,0))</f>
        <v>drugA</v>
      </c>
      <c r="M33" s="10" t="n">
        <f aca="false">IF(L33=F33,1,0)</f>
        <v>0</v>
      </c>
    </row>
    <row r="34" customFormat="false" ht="15" hidden="false" customHeight="true" outlineLevel="0" collapsed="false">
      <c r="A34" s="4" t="n">
        <v>30</v>
      </c>
      <c r="B34" s="4" t="str">
        <f aca="false">'Splitting Data'!B194</f>
        <v>ADULT</v>
      </c>
      <c r="C34" s="4" t="str">
        <f aca="false">'Splitting Data'!C194</f>
        <v>NORMAL</v>
      </c>
      <c r="D34" s="4" t="str">
        <f aca="false">'Splitting Data'!D194</f>
        <v>HIGH</v>
      </c>
      <c r="E34" s="4" t="str">
        <f aca="false">'Splitting Data'!E194</f>
        <v>NORMAL</v>
      </c>
      <c r="F34" s="4" t="str">
        <f aca="false">'Splitting Data'!F194</f>
        <v>DrugY</v>
      </c>
      <c r="G34" s="4" t="n">
        <f aca="false">'Prior &amp; Likelihood'!C5*INDEX('Prior &amp; Likelihood'!$B$24:$D$24,MATCH($B34,'Prior &amp; Likelihood'!$B$23:$D$23,0))*INDEX('Prior &amp; Likelihood'!$B$42:$D$42,MATCH($C34,'Prior &amp; Likelihood'!$B$41:$D$41,0))*INDEX('Prior &amp; Likelihood'!$B$60:$C$60,MATCH($D34,'Prior &amp; Likelihood'!$B$59:$C$59,0))*INDEX('Prior &amp; Likelihood'!$B$78:$D$78,MATCH($E34,'Prior &amp; Likelihood'!$B$77:$D$77,0))</f>
        <v>0</v>
      </c>
      <c r="H34" s="4" t="n">
        <f aca="false">'Prior &amp; Likelihood'!C6*INDEX('Prior &amp; Likelihood'!$B$25:$D$25,MATCH($B34,'Prior &amp; Likelihood'!$B$23:$D$23,0))*INDEX('Prior &amp; Likelihood'!$B$43:$D$43,MATCH($C34,'Prior &amp; Likelihood'!$B$41:$D$41,0))*INDEX('Prior &amp; Likelihood'!$B$61:$C$61,MATCH($D34,'Prior &amp; Likelihood'!$B$59:$C$59,0))*INDEX('Prior &amp; Likelihood'!$B$79:$D$79,MATCH($E34,'Prior &amp; Likelihood'!$B$77:$D$77,0))</f>
        <v>0</v>
      </c>
      <c r="I34" s="4" t="n">
        <f aca="false">'Prior &amp; Likelihood'!C7*INDEX('Prior &amp; Likelihood'!$B$26:$D$26,MATCH($B34,'Prior &amp; Likelihood'!$B$23:$D$23,0))*INDEX('Prior &amp; Likelihood'!$B$44:$D$44,MATCH($C34,'Prior &amp; Likelihood'!$B$41:$D$41,0))*INDEX('Prior &amp; Likelihood'!$B$62:$C$62,MATCH($D34,'Prior &amp; Likelihood'!$B$59:$C$59,0))*INDEX('Prior &amp; Likelihood'!$B$80:$D$80,MATCH($E34,'Prior &amp; Likelihood'!$B$77:$D$77,0))</f>
        <v>0</v>
      </c>
      <c r="J34" s="4" t="n">
        <f aca="false">'Prior &amp; Likelihood'!C8*INDEX('Prior &amp; Likelihood'!$B$27:$D$27,MATCH($B34,'Prior &amp; Likelihood'!$B$23:$D$23,0))*INDEX('Prior &amp; Likelihood'!$B$45:$D$45,MATCH($C34,'Prior &amp; Likelihood'!$B$41:$D$41,0))*INDEX('Prior &amp; Likelihood'!$B$63:$C$63,MATCH($D34,'Prior &amp; Likelihood'!$B$59:$C$59,0))*INDEX('Prior &amp; Likelihood'!$B$81:$D$81,MATCH($E34,'Prior &amp; Likelihood'!$B$77:$D$77,0))</f>
        <v>0.0106962280050813</v>
      </c>
      <c r="K34" s="4" t="n">
        <f aca="false">'Prior &amp; Likelihood'!C9*INDEX('Prior &amp; Likelihood'!$B$28:$D$28,MATCH($B34,'Prior &amp; Likelihood'!$B$23:$D$23,0))*INDEX('Prior &amp; Likelihood'!$B$46:$D$46,MATCH($C34,'Prior &amp; Likelihood'!$B$41:$D$41,0))*INDEX('Prior &amp; Likelihood'!$B$64:$C$64,MATCH($D34,'Prior &amp; Likelihood'!$B$59:$C$59,0))*INDEX('Prior &amp; Likelihood'!$B$82:$D$82,MATCH($E34,'Prior &amp; Likelihood'!$B$77:$D$77,0))</f>
        <v>0.0114212875015745</v>
      </c>
      <c r="L34" s="4" t="str">
        <f aca="false">INDEX({"drugA","drugB","drugC","drugX","DrugY"},MATCH(MAX(G34:K34),G34:K34,0))</f>
        <v>DrugY</v>
      </c>
      <c r="M34" s="10" t="n">
        <f aca="false">IF(L34=F34,1,0)</f>
        <v>1</v>
      </c>
    </row>
    <row r="35" customFormat="false" ht="15" hidden="false" customHeight="true" outlineLevel="0" collapsed="false">
      <c r="A35" s="4" t="n">
        <v>31</v>
      </c>
      <c r="B35" s="4" t="str">
        <f aca="false">'Splitting Data'!B195</f>
        <v>OLD</v>
      </c>
      <c r="C35" s="4" t="str">
        <f aca="false">'Splitting Data'!C195</f>
        <v>LOW</v>
      </c>
      <c r="D35" s="4" t="str">
        <f aca="false">'Splitting Data'!D195</f>
        <v>NORMAL</v>
      </c>
      <c r="E35" s="4" t="str">
        <f aca="false">'Splitting Data'!E195</f>
        <v>HIGH</v>
      </c>
      <c r="F35" s="4" t="str">
        <f aca="false">'Splitting Data'!F195</f>
        <v>DrugY</v>
      </c>
      <c r="G35" s="4" t="n">
        <f aca="false">'Prior &amp; Likelihood'!C5*INDEX('Prior &amp; Likelihood'!$B$24:$D$24,MATCH($B35,'Prior &amp; Likelihood'!$B$23:$D$23,0))*INDEX('Prior &amp; Likelihood'!$B$42:$D$42,MATCH($C35,'Prior &amp; Likelihood'!$B$41:$D$41,0))*INDEX('Prior &amp; Likelihood'!$B$60:$C$60,MATCH($D35,'Prior &amp; Likelihood'!$B$59:$C$59,0))*INDEX('Prior &amp; Likelihood'!$B$78:$D$78,MATCH($E35,'Prior &amp; Likelihood'!$B$77:$D$77,0))</f>
        <v>0</v>
      </c>
      <c r="H35" s="4" t="n">
        <f aca="false">'Prior &amp; Likelihood'!C6*INDEX('Prior &amp; Likelihood'!$B$25:$D$25,MATCH($B35,'Prior &amp; Likelihood'!$B$23:$D$23,0))*INDEX('Prior &amp; Likelihood'!$B$43:$D$43,MATCH($C35,'Prior &amp; Likelihood'!$B$41:$D$41,0))*INDEX('Prior &amp; Likelihood'!$B$61:$C$61,MATCH($D35,'Prior &amp; Likelihood'!$B$59:$C$59,0))*INDEX('Prior &amp; Likelihood'!$B$79:$D$79,MATCH($E35,'Prior &amp; Likelihood'!$B$77:$D$77,0))</f>
        <v>0</v>
      </c>
      <c r="I35" s="4" t="n">
        <f aca="false">'Prior &amp; Likelihood'!C7*INDEX('Prior &amp; Likelihood'!$B$26:$D$26,MATCH($B35,'Prior &amp; Likelihood'!$B$23:$D$23,0))*INDEX('Prior &amp; Likelihood'!$B$44:$D$44,MATCH($C35,'Prior &amp; Likelihood'!$B$41:$D$41,0))*INDEX('Prior &amp; Likelihood'!$B$62:$C$62,MATCH($D35,'Prior &amp; Likelihood'!$B$59:$C$59,0))*INDEX('Prior &amp; Likelihood'!$B$80:$D$80,MATCH($E35,'Prior &amp; Likelihood'!$B$77:$D$77,0))</f>
        <v>0</v>
      </c>
      <c r="J35" s="4" t="n">
        <f aca="false">'Prior &amp; Likelihood'!C8*INDEX('Prior &amp; Likelihood'!$B$27:$D$27,MATCH($B35,'Prior &amp; Likelihood'!$B$23:$D$23,0))*INDEX('Prior &amp; Likelihood'!$B$45:$D$45,MATCH($C35,'Prior &amp; Likelihood'!$B$41:$D$41,0))*INDEX('Prior &amp; Likelihood'!$B$63:$C$63,MATCH($D35,'Prior &amp; Likelihood'!$B$59:$C$59,0))*INDEX('Prior &amp; Likelihood'!$B$81:$D$81,MATCH($E35,'Prior &amp; Likelihood'!$B$77:$D$77,0))</f>
        <v>0.00314752160187153</v>
      </c>
      <c r="K35" s="4" t="n">
        <f aca="false">'Prior &amp; Likelihood'!C9*INDEX('Prior &amp; Likelihood'!$B$28:$D$28,MATCH($B35,'Prior &amp; Likelihood'!$B$23:$D$23,0))*INDEX('Prior &amp; Likelihood'!$B$46:$D$46,MATCH($C35,'Prior &amp; Likelihood'!$B$41:$D$41,0))*INDEX('Prior &amp; Likelihood'!$B$64:$C$64,MATCH($D35,'Prior &amp; Likelihood'!$B$59:$C$59,0))*INDEX('Prior &amp; Likelihood'!$B$82:$D$82,MATCH($E35,'Prior &amp; Likelihood'!$B$77:$D$77,0))</f>
        <v>0.0154173210939368</v>
      </c>
      <c r="L35" s="4" t="str">
        <f aca="false">INDEX({"drugA","drugB","drugC","drugX","DrugY"},MATCH(MAX(G35:K35),G35:K35,0))</f>
        <v>DrugY</v>
      </c>
      <c r="M35" s="10" t="n">
        <f aca="false">IF(L35=F35,1,0)</f>
        <v>1</v>
      </c>
    </row>
    <row r="36" customFormat="false" ht="15" hidden="false" customHeight="true" outlineLevel="0" collapsed="false">
      <c r="A36" s="4" t="n">
        <v>32</v>
      </c>
      <c r="B36" s="4" t="str">
        <f aca="false">'Splitting Data'!B196</f>
        <v>OLD</v>
      </c>
      <c r="C36" s="4" t="str">
        <f aca="false">'Splitting Data'!C196</f>
        <v>LOW</v>
      </c>
      <c r="D36" s="4" t="str">
        <f aca="false">'Splitting Data'!D196</f>
        <v>NORMAL</v>
      </c>
      <c r="E36" s="4" t="str">
        <f aca="false">'Splitting Data'!E196</f>
        <v>HIGH</v>
      </c>
      <c r="F36" s="4" t="str">
        <f aca="false">'Splitting Data'!F196</f>
        <v>DrugY</v>
      </c>
      <c r="G36" s="4" t="n">
        <f aca="false">'Prior &amp; Likelihood'!C5*INDEX('Prior &amp; Likelihood'!$B$24:$D$24,MATCH($B36,'Prior &amp; Likelihood'!$B$23:$D$23,0))*INDEX('Prior &amp; Likelihood'!$B$42:$D$42,MATCH($C36,'Prior &amp; Likelihood'!$B$41:$D$41,0))*INDEX('Prior &amp; Likelihood'!$B$60:$C$60,MATCH($D36,'Prior &amp; Likelihood'!$B$59:$C$59,0))*INDEX('Prior &amp; Likelihood'!$B$78:$D$78,MATCH($E36,'Prior &amp; Likelihood'!$B$77:$D$77,0))</f>
        <v>0</v>
      </c>
      <c r="H36" s="4" t="n">
        <f aca="false">'Prior &amp; Likelihood'!C6*INDEX('Prior &amp; Likelihood'!$B$25:$D$25,MATCH($B36,'Prior &amp; Likelihood'!$B$23:$D$23,0))*INDEX('Prior &amp; Likelihood'!$B$43:$D$43,MATCH($C36,'Prior &amp; Likelihood'!$B$41:$D$41,0))*INDEX('Prior &amp; Likelihood'!$B$61:$C$61,MATCH($D36,'Prior &amp; Likelihood'!$B$59:$C$59,0))*INDEX('Prior &amp; Likelihood'!$B$79:$D$79,MATCH($E36,'Prior &amp; Likelihood'!$B$77:$D$77,0))</f>
        <v>0</v>
      </c>
      <c r="I36" s="4" t="n">
        <f aca="false">'Prior &amp; Likelihood'!C7*INDEX('Prior &amp; Likelihood'!$B$26:$D$26,MATCH($B36,'Prior &amp; Likelihood'!$B$23:$D$23,0))*INDEX('Prior &amp; Likelihood'!$B$44:$D$44,MATCH($C36,'Prior &amp; Likelihood'!$B$41:$D$41,0))*INDEX('Prior &amp; Likelihood'!$B$62:$C$62,MATCH($D36,'Prior &amp; Likelihood'!$B$59:$C$59,0))*INDEX('Prior &amp; Likelihood'!$B$80:$D$80,MATCH($E36,'Prior &amp; Likelihood'!$B$77:$D$77,0))</f>
        <v>0</v>
      </c>
      <c r="J36" s="4" t="n">
        <f aca="false">'Prior &amp; Likelihood'!C8*INDEX('Prior &amp; Likelihood'!$B$27:$D$27,MATCH($B36,'Prior &amp; Likelihood'!$B$23:$D$23,0))*INDEX('Prior &amp; Likelihood'!$B$45:$D$45,MATCH($C36,'Prior &amp; Likelihood'!$B$41:$D$41,0))*INDEX('Prior &amp; Likelihood'!$B$63:$C$63,MATCH($D36,'Prior &amp; Likelihood'!$B$59:$C$59,0))*INDEX('Prior &amp; Likelihood'!$B$81:$D$81,MATCH($E36,'Prior &amp; Likelihood'!$B$77:$D$77,0))</f>
        <v>0.00314752160187153</v>
      </c>
      <c r="K36" s="4" t="n">
        <f aca="false">'Prior &amp; Likelihood'!C9*INDEX('Prior &amp; Likelihood'!$B$28:$D$28,MATCH($B36,'Prior &amp; Likelihood'!$B$23:$D$23,0))*INDEX('Prior &amp; Likelihood'!$B$46:$D$46,MATCH($C36,'Prior &amp; Likelihood'!$B$41:$D$41,0))*INDEX('Prior &amp; Likelihood'!$B$64:$C$64,MATCH($D36,'Prior &amp; Likelihood'!$B$59:$C$59,0))*INDEX('Prior &amp; Likelihood'!$B$82:$D$82,MATCH($E36,'Prior &amp; Likelihood'!$B$77:$D$77,0))</f>
        <v>0.0154173210939368</v>
      </c>
      <c r="L36" s="4" t="str">
        <f aca="false">INDEX({"drugA","drugB","drugC","drugX","DrugY"},MATCH(MAX(G36:K36),G36:K36,0))</f>
        <v>DrugY</v>
      </c>
      <c r="M36" s="10" t="n">
        <f aca="false">IF(L36=F36,1,0)</f>
        <v>1</v>
      </c>
    </row>
    <row r="37" customFormat="false" ht="15" hidden="false" customHeight="true" outlineLevel="0" collapsed="false">
      <c r="A37" s="4" t="n">
        <v>33</v>
      </c>
      <c r="B37" s="4" t="str">
        <f aca="false">'Splitting Data'!B197</f>
        <v>OLD</v>
      </c>
      <c r="C37" s="4" t="str">
        <f aca="false">'Splitting Data'!C197</f>
        <v>LOW</v>
      </c>
      <c r="D37" s="4" t="str">
        <f aca="false">'Splitting Data'!D197</f>
        <v>NORMAL</v>
      </c>
      <c r="E37" s="4" t="str">
        <f aca="false">'Splitting Data'!E197</f>
        <v>HIGH</v>
      </c>
      <c r="F37" s="4" t="str">
        <f aca="false">'Splitting Data'!F197</f>
        <v>DrugY</v>
      </c>
      <c r="G37" s="4" t="n">
        <f aca="false">'Prior &amp; Likelihood'!C5*INDEX('Prior &amp; Likelihood'!$B$24:$D$24,MATCH($B37,'Prior &amp; Likelihood'!$B$23:$D$23,0))*INDEX('Prior &amp; Likelihood'!$B$42:$D$42,MATCH($C37,'Prior &amp; Likelihood'!$B$41:$D$41,0))*INDEX('Prior &amp; Likelihood'!$B$60:$C$60,MATCH($D37,'Prior &amp; Likelihood'!$B$59:$C$59,0))*INDEX('Prior &amp; Likelihood'!$B$78:$D$78,MATCH($E37,'Prior &amp; Likelihood'!$B$77:$D$77,0))</f>
        <v>0</v>
      </c>
      <c r="H37" s="4" t="n">
        <f aca="false">'Prior &amp; Likelihood'!C6*INDEX('Prior &amp; Likelihood'!$B$25:$D$25,MATCH($B37,'Prior &amp; Likelihood'!$B$23:$D$23,0))*INDEX('Prior &amp; Likelihood'!$B$43:$D$43,MATCH($C37,'Prior &amp; Likelihood'!$B$41:$D$41,0))*INDEX('Prior &amp; Likelihood'!$B$61:$C$61,MATCH($D37,'Prior &amp; Likelihood'!$B$59:$C$59,0))*INDEX('Prior &amp; Likelihood'!$B$79:$D$79,MATCH($E37,'Prior &amp; Likelihood'!$B$77:$D$77,0))</f>
        <v>0</v>
      </c>
      <c r="I37" s="4" t="n">
        <f aca="false">'Prior &amp; Likelihood'!C7*INDEX('Prior &amp; Likelihood'!$B$26:$D$26,MATCH($B37,'Prior &amp; Likelihood'!$B$23:$D$23,0))*INDEX('Prior &amp; Likelihood'!$B$44:$D$44,MATCH($C37,'Prior &amp; Likelihood'!$B$41:$D$41,0))*INDEX('Prior &amp; Likelihood'!$B$62:$C$62,MATCH($D37,'Prior &amp; Likelihood'!$B$59:$C$59,0))*INDEX('Prior &amp; Likelihood'!$B$80:$D$80,MATCH($E37,'Prior &amp; Likelihood'!$B$77:$D$77,0))</f>
        <v>0</v>
      </c>
      <c r="J37" s="4" t="n">
        <f aca="false">'Prior &amp; Likelihood'!C8*INDEX('Prior &amp; Likelihood'!$B$27:$D$27,MATCH($B37,'Prior &amp; Likelihood'!$B$23:$D$23,0))*INDEX('Prior &amp; Likelihood'!$B$45:$D$45,MATCH($C37,'Prior &amp; Likelihood'!$B$41:$D$41,0))*INDEX('Prior &amp; Likelihood'!$B$63:$C$63,MATCH($D37,'Prior &amp; Likelihood'!$B$59:$C$59,0))*INDEX('Prior &amp; Likelihood'!$B$81:$D$81,MATCH($E37,'Prior &amp; Likelihood'!$B$77:$D$77,0))</f>
        <v>0.00314752160187153</v>
      </c>
      <c r="K37" s="4" t="n">
        <f aca="false">'Prior &amp; Likelihood'!C9*INDEX('Prior &amp; Likelihood'!$B$28:$D$28,MATCH($B37,'Prior &amp; Likelihood'!$B$23:$D$23,0))*INDEX('Prior &amp; Likelihood'!$B$46:$D$46,MATCH($C37,'Prior &amp; Likelihood'!$B$41:$D$41,0))*INDEX('Prior &amp; Likelihood'!$B$64:$C$64,MATCH($D37,'Prior &amp; Likelihood'!$B$59:$C$59,0))*INDEX('Prior &amp; Likelihood'!$B$82:$D$82,MATCH($E37,'Prior &amp; Likelihood'!$B$77:$D$77,0))</f>
        <v>0.0154173210939368</v>
      </c>
      <c r="L37" s="4" t="str">
        <f aca="false">INDEX({"drugA","drugB","drugC","drugX","DrugY"},MATCH(MAX(G37:K37),G37:K37,0))</f>
        <v>DrugY</v>
      </c>
      <c r="M37" s="10" t="n">
        <f aca="false">IF(L37=F37,1,0)</f>
        <v>1</v>
      </c>
    </row>
    <row r="38" customFormat="false" ht="15" hidden="false" customHeight="true" outlineLevel="0" collapsed="false">
      <c r="A38" s="4" t="n">
        <v>34</v>
      </c>
      <c r="B38" s="4" t="str">
        <f aca="false">'Splitting Data'!B198</f>
        <v>OLD</v>
      </c>
      <c r="C38" s="4" t="str">
        <f aca="false">'Splitting Data'!C198</f>
        <v>LOW</v>
      </c>
      <c r="D38" s="4" t="str">
        <f aca="false">'Splitting Data'!D198</f>
        <v>HIGH</v>
      </c>
      <c r="E38" s="4" t="str">
        <f aca="false">'Splitting Data'!E198</f>
        <v>HIGH</v>
      </c>
      <c r="F38" s="4" t="str">
        <f aca="false">'Splitting Data'!F198</f>
        <v>DrugY</v>
      </c>
      <c r="G38" s="4" t="n">
        <f aca="false">'Prior &amp; Likelihood'!C5*INDEX('Prior &amp; Likelihood'!$B$24:$D$24,MATCH($B38,'Prior &amp; Likelihood'!$B$23:$D$23,0))*INDEX('Prior &amp; Likelihood'!$B$42:$D$42,MATCH($C38,'Prior &amp; Likelihood'!$B$41:$D$41,0))*INDEX('Prior &amp; Likelihood'!$B$60:$C$60,MATCH($D38,'Prior &amp; Likelihood'!$B$59:$C$59,0))*INDEX('Prior &amp; Likelihood'!$B$78:$D$78,MATCH($E38,'Prior &amp; Likelihood'!$B$77:$D$77,0))</f>
        <v>0</v>
      </c>
      <c r="H38" s="4" t="n">
        <f aca="false">'Prior &amp; Likelihood'!C6*INDEX('Prior &amp; Likelihood'!$B$25:$D$25,MATCH($B38,'Prior &amp; Likelihood'!$B$23:$D$23,0))*INDEX('Prior &amp; Likelihood'!$B$43:$D$43,MATCH($C38,'Prior &amp; Likelihood'!$B$41:$D$41,0))*INDEX('Prior &amp; Likelihood'!$B$61:$C$61,MATCH($D38,'Prior &amp; Likelihood'!$B$59:$C$59,0))*INDEX('Prior &amp; Likelihood'!$B$79:$D$79,MATCH($E38,'Prior &amp; Likelihood'!$B$77:$D$77,0))</f>
        <v>0</v>
      </c>
      <c r="I38" s="4" t="n">
        <f aca="false">'Prior &amp; Likelihood'!C7*INDEX('Prior &amp; Likelihood'!$B$26:$D$26,MATCH($B38,'Prior &amp; Likelihood'!$B$23:$D$23,0))*INDEX('Prior &amp; Likelihood'!$B$44:$D$44,MATCH($C38,'Prior &amp; Likelihood'!$B$41:$D$41,0))*INDEX('Prior &amp; Likelihood'!$B$62:$C$62,MATCH($D38,'Prior &amp; Likelihood'!$B$59:$C$59,0))*INDEX('Prior &amp; Likelihood'!$B$80:$D$80,MATCH($E38,'Prior &amp; Likelihood'!$B$77:$D$77,0))</f>
        <v>0.00432692307692308</v>
      </c>
      <c r="J38" s="4" t="n">
        <f aca="false">'Prior &amp; Likelihood'!C8*INDEX('Prior &amp; Likelihood'!$B$27:$D$27,MATCH($B38,'Prior &amp; Likelihood'!$B$23:$D$23,0))*INDEX('Prior &amp; Likelihood'!$B$45:$D$45,MATCH($C38,'Prior &amp; Likelihood'!$B$41:$D$41,0))*INDEX('Prior &amp; Likelihood'!$B$63:$C$63,MATCH($D38,'Prior &amp; Likelihood'!$B$59:$C$59,0))*INDEX('Prior &amp; Likelihood'!$B$81:$D$81,MATCH($E38,'Prior &amp; Likelihood'!$B$77:$D$77,0))</f>
        <v>0.00205799489353139</v>
      </c>
      <c r="K38" s="4" t="n">
        <f aca="false">'Prior &amp; Likelihood'!C9*INDEX('Prior &amp; Likelihood'!$B$28:$D$28,MATCH($B38,'Prior &amp; Likelihood'!$B$23:$D$23,0))*INDEX('Prior &amp; Likelihood'!$B$46:$D$46,MATCH($C38,'Prior &amp; Likelihood'!$B$41:$D$41,0))*INDEX('Prior &amp; Likelihood'!$B$64:$C$64,MATCH($D38,'Prior &amp; Likelihood'!$B$59:$C$59,0))*INDEX('Prior &amp; Likelihood'!$B$82:$D$82,MATCH($E38,'Prior &amp; Likelihood'!$B$77:$D$77,0))</f>
        <v>0.0176845741959863</v>
      </c>
      <c r="L38" s="4" t="str">
        <f aca="false">INDEX({"drugA","drugB","drugC","drugX","DrugY"},MATCH(MAX(G38:K38),G38:K38,0))</f>
        <v>DrugY</v>
      </c>
      <c r="M38" s="10" t="n">
        <f aca="false">IF(L38=F38,1,0)</f>
        <v>1</v>
      </c>
    </row>
    <row r="39" customFormat="false" ht="15" hidden="false" customHeight="true" outlineLevel="0" collapsed="false">
      <c r="A39" s="4" t="n">
        <v>35</v>
      </c>
      <c r="B39" s="4" t="str">
        <f aca="false">'Splitting Data'!B199</f>
        <v>OLD</v>
      </c>
      <c r="C39" s="4" t="str">
        <f aca="false">'Splitting Data'!C199</f>
        <v>HIGH</v>
      </c>
      <c r="D39" s="4" t="str">
        <f aca="false">'Splitting Data'!D199</f>
        <v>HIGH</v>
      </c>
      <c r="E39" s="4" t="str">
        <f aca="false">'Splitting Data'!E199</f>
        <v>HIGH</v>
      </c>
      <c r="F39" s="4" t="str">
        <f aca="false">'Splitting Data'!F199</f>
        <v>DrugY</v>
      </c>
      <c r="G39" s="4" t="n">
        <f aca="false">'Prior &amp; Likelihood'!C5*INDEX('Prior &amp; Likelihood'!$B$24:$D$24,MATCH($B39,'Prior &amp; Likelihood'!$B$23:$D$23,0))*INDEX('Prior &amp; Likelihood'!$B$42:$D$42,MATCH($C39,'Prior &amp; Likelihood'!$B$41:$D$41,0))*INDEX('Prior &amp; Likelihood'!$B$60:$C$60,MATCH($D39,'Prior &amp; Likelihood'!$B$59:$C$59,0))*INDEX('Prior &amp; Likelihood'!$B$78:$D$78,MATCH($E39,'Prior &amp; Likelihood'!$B$77:$D$77,0))</f>
        <v>0.00154320987654321</v>
      </c>
      <c r="H39" s="4" t="n">
        <f aca="false">'Prior &amp; Likelihood'!C6*INDEX('Prior &amp; Likelihood'!$B$25:$D$25,MATCH($B39,'Prior &amp; Likelihood'!$B$23:$D$23,0))*INDEX('Prior &amp; Likelihood'!$B$43:$D$43,MATCH($C39,'Prior &amp; Likelihood'!$B$41:$D$41,0))*INDEX('Prior &amp; Likelihood'!$B$61:$C$61,MATCH($D39,'Prior &amp; Likelihood'!$B$59:$C$59,0))*INDEX('Prior &amp; Likelihood'!$B$79:$D$79,MATCH($E39,'Prior &amp; Likelihood'!$B$77:$D$77,0))</f>
        <v>0.00288461538461539</v>
      </c>
      <c r="I39" s="4" t="n">
        <f aca="false">'Prior &amp; Likelihood'!C7*INDEX('Prior &amp; Likelihood'!$B$26:$D$26,MATCH($B39,'Prior &amp; Likelihood'!$B$23:$D$23,0))*INDEX('Prior &amp; Likelihood'!$B$44:$D$44,MATCH($C39,'Prior &amp; Likelihood'!$B$41:$D$41,0))*INDEX('Prior &amp; Likelihood'!$B$62:$C$62,MATCH($D39,'Prior &amp; Likelihood'!$B$59:$C$59,0))*INDEX('Prior &amp; Likelihood'!$B$80:$D$80,MATCH($E39,'Prior &amp; Likelihood'!$B$77:$D$77,0))</f>
        <v>0</v>
      </c>
      <c r="J39" s="4" t="n">
        <f aca="false">'Prior &amp; Likelihood'!C8*INDEX('Prior &amp; Likelihood'!$B$27:$D$27,MATCH($B39,'Prior &amp; Likelihood'!$B$23:$D$23,0))*INDEX('Prior &amp; Likelihood'!$B$45:$D$45,MATCH($C39,'Prior &amp; Likelihood'!$B$41:$D$41,0))*INDEX('Prior &amp; Likelihood'!$B$63:$C$63,MATCH($D39,'Prior &amp; Likelihood'!$B$59:$C$59,0))*INDEX('Prior &amp; Likelihood'!$B$81:$D$81,MATCH($E39,'Prior &amp; Likelihood'!$B$77:$D$77,0))</f>
        <v>0</v>
      </c>
      <c r="K39" s="4" t="n">
        <f aca="false">'Prior &amp; Likelihood'!C9*INDEX('Prior &amp; Likelihood'!$B$28:$D$28,MATCH($B39,'Prior &amp; Likelihood'!$B$23:$D$23,0))*INDEX('Prior &amp; Likelihood'!$B$46:$D$46,MATCH($C39,'Prior &amp; Likelihood'!$B$41:$D$41,0))*INDEX('Prior &amp; Likelihood'!$B$64:$C$64,MATCH($D39,'Prior &amp; Likelihood'!$B$59:$C$59,0))*INDEX('Prior &amp; Likelihood'!$B$82:$D$82,MATCH($E39,'Prior &amp; Likelihood'!$B$77:$D$77,0))</f>
        <v>0.0261058000035988</v>
      </c>
      <c r="L39" s="4" t="str">
        <f aca="false">INDEX({"drugA","drugB","drugC","drugX","DrugY"},MATCH(MAX(G39:K39),G39:K39,0))</f>
        <v>DrugY</v>
      </c>
      <c r="M39" s="10" t="n">
        <f aca="false">IF(L39=F39,1,0)</f>
        <v>1</v>
      </c>
    </row>
    <row r="40" customFormat="false" ht="15" hidden="false" customHeight="true" outlineLevel="0" collapsed="false">
      <c r="A40" s="4" t="n">
        <v>36</v>
      </c>
      <c r="B40" s="4" t="str">
        <f aca="false">'Splitting Data'!B200</f>
        <v>OLD</v>
      </c>
      <c r="C40" s="4" t="str">
        <f aca="false">'Splitting Data'!C200</f>
        <v>LOW</v>
      </c>
      <c r="D40" s="4" t="str">
        <f aca="false">'Splitting Data'!D200</f>
        <v>HIGH</v>
      </c>
      <c r="E40" s="4" t="str">
        <f aca="false">'Splitting Data'!E200</f>
        <v>NORMAL</v>
      </c>
      <c r="F40" s="4" t="str">
        <f aca="false">'Splitting Data'!F200</f>
        <v>DrugY</v>
      </c>
      <c r="G40" s="4" t="n">
        <f aca="false">'Prior &amp; Likelihood'!C5*INDEX('Prior &amp; Likelihood'!$B$24:$D$24,MATCH($B40,'Prior &amp; Likelihood'!$B$23:$D$23,0))*INDEX('Prior &amp; Likelihood'!$B$42:$D$42,MATCH($C40,'Prior &amp; Likelihood'!$B$41:$D$41,0))*INDEX('Prior &amp; Likelihood'!$B$60:$C$60,MATCH($D40,'Prior &amp; Likelihood'!$B$59:$C$59,0))*INDEX('Prior &amp; Likelihood'!$B$78:$D$78,MATCH($E40,'Prior &amp; Likelihood'!$B$77:$D$77,0))</f>
        <v>0</v>
      </c>
      <c r="H40" s="4" t="n">
        <f aca="false">'Prior &amp; Likelihood'!C6*INDEX('Prior &amp; Likelihood'!$B$25:$D$25,MATCH($B40,'Prior &amp; Likelihood'!$B$23:$D$23,0))*INDEX('Prior &amp; Likelihood'!$B$43:$D$43,MATCH($C40,'Prior &amp; Likelihood'!$B$41:$D$41,0))*INDEX('Prior &amp; Likelihood'!$B$61:$C$61,MATCH($D40,'Prior &amp; Likelihood'!$B$59:$C$59,0))*INDEX('Prior &amp; Likelihood'!$B$79:$D$79,MATCH($E40,'Prior &amp; Likelihood'!$B$77:$D$77,0))</f>
        <v>0</v>
      </c>
      <c r="I40" s="4" t="n">
        <f aca="false">'Prior &amp; Likelihood'!C7*INDEX('Prior &amp; Likelihood'!$B$26:$D$26,MATCH($B40,'Prior &amp; Likelihood'!$B$23:$D$23,0))*INDEX('Prior &amp; Likelihood'!$B$44:$D$44,MATCH($C40,'Prior &amp; Likelihood'!$B$41:$D$41,0))*INDEX('Prior &amp; Likelihood'!$B$62:$C$62,MATCH($D40,'Prior &amp; Likelihood'!$B$59:$C$59,0))*INDEX('Prior &amp; Likelihood'!$B$80:$D$80,MATCH($E40,'Prior &amp; Likelihood'!$B$77:$D$77,0))</f>
        <v>0.0389423076923077</v>
      </c>
      <c r="J40" s="4" t="n">
        <f aca="false">'Prior &amp; Likelihood'!C8*INDEX('Prior &amp; Likelihood'!$B$27:$D$27,MATCH($B40,'Prior &amp; Likelihood'!$B$23:$D$23,0))*INDEX('Prior &amp; Likelihood'!$B$45:$D$45,MATCH($C40,'Prior &amp; Likelihood'!$B$41:$D$41,0))*INDEX('Prior &amp; Likelihood'!$B$63:$C$63,MATCH($D40,'Prior &amp; Likelihood'!$B$59:$C$59,0))*INDEX('Prior &amp; Likelihood'!$B$81:$D$81,MATCH($E40,'Prior &amp; Likelihood'!$B$77:$D$77,0))</f>
        <v>0.00946677651024438</v>
      </c>
      <c r="K40" s="4" t="n">
        <f aca="false">'Prior &amp; Likelihood'!C9*INDEX('Prior &amp; Likelihood'!$B$28:$D$28,MATCH($B40,'Prior &amp; Likelihood'!$B$23:$D$23,0))*INDEX('Prior &amp; Likelihood'!$B$46:$D$46,MATCH($C40,'Prior &amp; Likelihood'!$B$41:$D$41,0))*INDEX('Prior &amp; Likelihood'!$B$64:$C$64,MATCH($D40,'Prior &amp; Likelihood'!$B$59:$C$59,0))*INDEX('Prior &amp; Likelihood'!$B$82:$D$82,MATCH($E40,'Prior &amp; Likelihood'!$B$77:$D$77,0))</f>
        <v>0.0130529000017994</v>
      </c>
      <c r="L40" s="4" t="str">
        <f aca="false">INDEX({"drugA","drugB","drugC","drugX","DrugY"},MATCH(MAX(G40:K40),G40:K40,0))</f>
        <v>drugC</v>
      </c>
      <c r="M40" s="10" t="n">
        <f aca="false">IF(L40=F40,1,0)</f>
        <v>0</v>
      </c>
    </row>
    <row r="41" customFormat="false" ht="15" hidden="false" customHeight="true" outlineLevel="0" collapsed="false">
      <c r="A41" s="4" t="n">
        <v>37</v>
      </c>
      <c r="B41" s="4" t="str">
        <f aca="false">'Splitting Data'!B201</f>
        <v>OLD</v>
      </c>
      <c r="C41" s="4" t="str">
        <f aca="false">'Splitting Data'!C201</f>
        <v>LOW</v>
      </c>
      <c r="D41" s="4" t="str">
        <f aca="false">'Splitting Data'!D201</f>
        <v>NORMAL</v>
      </c>
      <c r="E41" s="4" t="str">
        <f aca="false">'Splitting Data'!E201</f>
        <v>HIGH</v>
      </c>
      <c r="F41" s="4" t="str">
        <f aca="false">'Splitting Data'!F201</f>
        <v>DrugY</v>
      </c>
      <c r="G41" s="4" t="n">
        <f aca="false">'Prior &amp; Likelihood'!C5*INDEX('Prior &amp; Likelihood'!$B$24:$D$24,MATCH($B41,'Prior &amp; Likelihood'!$B$23:$D$23,0))*INDEX('Prior &amp; Likelihood'!$B$42:$D$42,MATCH($C41,'Prior &amp; Likelihood'!$B$41:$D$41,0))*INDEX('Prior &amp; Likelihood'!$B$60:$C$60,MATCH($D41,'Prior &amp; Likelihood'!$B$59:$C$59,0))*INDEX('Prior &amp; Likelihood'!$B$78:$D$78,MATCH($E41,'Prior &amp; Likelihood'!$B$77:$D$77,0))</f>
        <v>0</v>
      </c>
      <c r="H41" s="4" t="n">
        <f aca="false">'Prior &amp; Likelihood'!C6*INDEX('Prior &amp; Likelihood'!$B$25:$D$25,MATCH($B41,'Prior &amp; Likelihood'!$B$23:$D$23,0))*INDEX('Prior &amp; Likelihood'!$B$43:$D$43,MATCH($C41,'Prior &amp; Likelihood'!$B$41:$D$41,0))*INDEX('Prior &amp; Likelihood'!$B$61:$C$61,MATCH($D41,'Prior &amp; Likelihood'!$B$59:$C$59,0))*INDEX('Prior &amp; Likelihood'!$B$79:$D$79,MATCH($E41,'Prior &amp; Likelihood'!$B$77:$D$77,0))</f>
        <v>0</v>
      </c>
      <c r="I41" s="4" t="n">
        <f aca="false">'Prior &amp; Likelihood'!C7*INDEX('Prior &amp; Likelihood'!$B$26:$D$26,MATCH($B41,'Prior &amp; Likelihood'!$B$23:$D$23,0))*INDEX('Prior &amp; Likelihood'!$B$44:$D$44,MATCH($C41,'Prior &amp; Likelihood'!$B$41:$D$41,0))*INDEX('Prior &amp; Likelihood'!$B$62:$C$62,MATCH($D41,'Prior &amp; Likelihood'!$B$59:$C$59,0))*INDEX('Prior &amp; Likelihood'!$B$80:$D$80,MATCH($E41,'Prior &amp; Likelihood'!$B$77:$D$77,0))</f>
        <v>0</v>
      </c>
      <c r="J41" s="4" t="n">
        <f aca="false">'Prior &amp; Likelihood'!C8*INDEX('Prior &amp; Likelihood'!$B$27:$D$27,MATCH($B41,'Prior &amp; Likelihood'!$B$23:$D$23,0))*INDEX('Prior &amp; Likelihood'!$B$45:$D$45,MATCH($C41,'Prior &amp; Likelihood'!$B$41:$D$41,0))*INDEX('Prior &amp; Likelihood'!$B$63:$C$63,MATCH($D41,'Prior &amp; Likelihood'!$B$59:$C$59,0))*INDEX('Prior &amp; Likelihood'!$B$81:$D$81,MATCH($E41,'Prior &amp; Likelihood'!$B$77:$D$77,0))</f>
        <v>0.00314752160187153</v>
      </c>
      <c r="K41" s="4" t="n">
        <f aca="false">'Prior &amp; Likelihood'!C9*INDEX('Prior &amp; Likelihood'!$B$28:$D$28,MATCH($B41,'Prior &amp; Likelihood'!$B$23:$D$23,0))*INDEX('Prior &amp; Likelihood'!$B$46:$D$46,MATCH($C41,'Prior &amp; Likelihood'!$B$41:$D$41,0))*INDEX('Prior &amp; Likelihood'!$B$64:$C$64,MATCH($D41,'Prior &amp; Likelihood'!$B$59:$C$59,0))*INDEX('Prior &amp; Likelihood'!$B$82:$D$82,MATCH($E41,'Prior &amp; Likelihood'!$B$77:$D$77,0))</f>
        <v>0.0154173210939368</v>
      </c>
      <c r="L41" s="4" t="str">
        <f aca="false">INDEX({"drugA","drugB","drugC","drugX","DrugY"},MATCH(MAX(G41:K41),G41:K41,0))</f>
        <v>DrugY</v>
      </c>
      <c r="M41" s="10" t="n">
        <f aca="false">IF(L41=F41,1,0)</f>
        <v>1</v>
      </c>
    </row>
    <row r="42" customFormat="false" ht="15" hidden="false" customHeight="true" outlineLevel="0" collapsed="false">
      <c r="A42" s="4" t="n">
        <v>38</v>
      </c>
      <c r="B42" s="4" t="str">
        <f aca="false">'Splitting Data'!B202</f>
        <v>OLD</v>
      </c>
      <c r="C42" s="4" t="str">
        <f aca="false">'Splitting Data'!C202</f>
        <v>HIGH</v>
      </c>
      <c r="D42" s="4" t="str">
        <f aca="false">'Splitting Data'!D202</f>
        <v>NORMAL</v>
      </c>
      <c r="E42" s="4" t="str">
        <f aca="false">'Splitting Data'!E202</f>
        <v>HIGH</v>
      </c>
      <c r="F42" s="4" t="str">
        <f aca="false">'Splitting Data'!F202</f>
        <v>DrugY</v>
      </c>
      <c r="G42" s="4" t="n">
        <f aca="false">'Prior &amp; Likelihood'!C5*INDEX('Prior &amp; Likelihood'!$B$24:$D$24,MATCH($B42,'Prior &amp; Likelihood'!$B$23:$D$23,0))*INDEX('Prior &amp; Likelihood'!$B$42:$D$42,MATCH($C42,'Prior &amp; Likelihood'!$B$41:$D$41,0))*INDEX('Prior &amp; Likelihood'!$B$60:$C$60,MATCH($D42,'Prior &amp; Likelihood'!$B$59:$C$59,0))*INDEX('Prior &amp; Likelihood'!$B$78:$D$78,MATCH($E42,'Prior &amp; Likelihood'!$B$77:$D$77,0))</f>
        <v>0.00192901234567901</v>
      </c>
      <c r="H42" s="4" t="n">
        <f aca="false">'Prior &amp; Likelihood'!C6*INDEX('Prior &amp; Likelihood'!$B$25:$D$25,MATCH($B42,'Prior &amp; Likelihood'!$B$23:$D$23,0))*INDEX('Prior &amp; Likelihood'!$B$43:$D$43,MATCH($C42,'Prior &amp; Likelihood'!$B$41:$D$41,0))*INDEX('Prior &amp; Likelihood'!$B$61:$C$61,MATCH($D42,'Prior &amp; Likelihood'!$B$59:$C$59,0))*INDEX('Prior &amp; Likelihood'!$B$79:$D$79,MATCH($E42,'Prior &amp; Likelihood'!$B$77:$D$77,0))</f>
        <v>0.00336538461538462</v>
      </c>
      <c r="I42" s="4" t="n">
        <f aca="false">'Prior &amp; Likelihood'!C7*INDEX('Prior &amp; Likelihood'!$B$26:$D$26,MATCH($B42,'Prior &amp; Likelihood'!$B$23:$D$23,0))*INDEX('Prior &amp; Likelihood'!$B$44:$D$44,MATCH($C42,'Prior &amp; Likelihood'!$B$41:$D$41,0))*INDEX('Prior &amp; Likelihood'!$B$62:$C$62,MATCH($D42,'Prior &amp; Likelihood'!$B$59:$C$59,0))*INDEX('Prior &amp; Likelihood'!$B$80:$D$80,MATCH($E42,'Prior &amp; Likelihood'!$B$77:$D$77,0))</f>
        <v>0</v>
      </c>
      <c r="J42" s="4" t="n">
        <f aca="false">'Prior &amp; Likelihood'!C8*INDEX('Prior &amp; Likelihood'!$B$27:$D$27,MATCH($B42,'Prior &amp; Likelihood'!$B$23:$D$23,0))*INDEX('Prior &amp; Likelihood'!$B$45:$D$45,MATCH($C42,'Prior &amp; Likelihood'!$B$41:$D$41,0))*INDEX('Prior &amp; Likelihood'!$B$63:$C$63,MATCH($D42,'Prior &amp; Likelihood'!$B$59:$C$59,0))*INDEX('Prior &amp; Likelihood'!$B$81:$D$81,MATCH($E42,'Prior &amp; Likelihood'!$B$77:$D$77,0))</f>
        <v>0</v>
      </c>
      <c r="K42" s="4" t="n">
        <f aca="false">'Prior &amp; Likelihood'!C9*INDEX('Prior &amp; Likelihood'!$B$28:$D$28,MATCH($B42,'Prior &amp; Likelihood'!$B$23:$D$23,0))*INDEX('Prior &amp; Likelihood'!$B$46:$D$46,MATCH($C42,'Prior &amp; Likelihood'!$B$41:$D$41,0))*INDEX('Prior &amp; Likelihood'!$B$64:$C$64,MATCH($D42,'Prior &amp; Likelihood'!$B$59:$C$59,0))*INDEX('Prior &amp; Likelihood'!$B$82:$D$82,MATCH($E42,'Prior &amp; Likelihood'!$B$77:$D$77,0))</f>
        <v>0.02275890256724</v>
      </c>
      <c r="L42" s="4" t="str">
        <f aca="false">INDEX({"drugA","drugB","drugC","drugX","DrugY"},MATCH(MAX(G42:K42),G42:K42,0))</f>
        <v>DrugY</v>
      </c>
      <c r="M42" s="10" t="n">
        <f aca="false">IF(L42=F42,1,0)</f>
        <v>1</v>
      </c>
    </row>
    <row r="43" customFormat="false" ht="15" hidden="false" customHeight="true" outlineLevel="0" collapsed="false">
      <c r="A43" s="4" t="n">
        <v>39</v>
      </c>
      <c r="B43" s="4" t="str">
        <f aca="false">'Splitting Data'!B203</f>
        <v>OLD</v>
      </c>
      <c r="C43" s="4" t="str">
        <f aca="false">'Splitting Data'!C203</f>
        <v>LOW</v>
      </c>
      <c r="D43" s="4" t="str">
        <f aca="false">'Splitting Data'!D203</f>
        <v>NORMAL</v>
      </c>
      <c r="E43" s="4" t="str">
        <f aca="false">'Splitting Data'!E203</f>
        <v>HIGH</v>
      </c>
      <c r="F43" s="4" t="str">
        <f aca="false">'Splitting Data'!F203</f>
        <v>DrugY</v>
      </c>
      <c r="G43" s="4" t="n">
        <f aca="false">'Prior &amp; Likelihood'!C5*INDEX('Prior &amp; Likelihood'!$B$24:$D$24,MATCH($B43,'Prior &amp; Likelihood'!$B$23:$D$23,0))*INDEX('Prior &amp; Likelihood'!$B$42:$D$42,MATCH($C43,'Prior &amp; Likelihood'!$B$41:$D$41,0))*INDEX('Prior &amp; Likelihood'!$B$60:$C$60,MATCH($D43,'Prior &amp; Likelihood'!$B$59:$C$59,0))*INDEX('Prior &amp; Likelihood'!$B$78:$D$78,MATCH($E43,'Prior &amp; Likelihood'!$B$77:$D$77,0))</f>
        <v>0</v>
      </c>
      <c r="H43" s="4" t="n">
        <f aca="false">'Prior &amp; Likelihood'!C6*INDEX('Prior &amp; Likelihood'!$B$25:$D$25,MATCH($B43,'Prior &amp; Likelihood'!$B$23:$D$23,0))*INDEX('Prior &amp; Likelihood'!$B$43:$D$43,MATCH($C43,'Prior &amp; Likelihood'!$B$41:$D$41,0))*INDEX('Prior &amp; Likelihood'!$B$61:$C$61,MATCH($D43,'Prior &amp; Likelihood'!$B$59:$C$59,0))*INDEX('Prior &amp; Likelihood'!$B$79:$D$79,MATCH($E43,'Prior &amp; Likelihood'!$B$77:$D$77,0))</f>
        <v>0</v>
      </c>
      <c r="I43" s="4" t="n">
        <f aca="false">'Prior &amp; Likelihood'!C7*INDEX('Prior &amp; Likelihood'!$B$26:$D$26,MATCH($B43,'Prior &amp; Likelihood'!$B$23:$D$23,0))*INDEX('Prior &amp; Likelihood'!$B$44:$D$44,MATCH($C43,'Prior &amp; Likelihood'!$B$41:$D$41,0))*INDEX('Prior &amp; Likelihood'!$B$62:$C$62,MATCH($D43,'Prior &amp; Likelihood'!$B$59:$C$59,0))*INDEX('Prior &amp; Likelihood'!$B$80:$D$80,MATCH($E43,'Prior &amp; Likelihood'!$B$77:$D$77,0))</f>
        <v>0</v>
      </c>
      <c r="J43" s="4" t="n">
        <f aca="false">'Prior &amp; Likelihood'!C8*INDEX('Prior &amp; Likelihood'!$B$27:$D$27,MATCH($B43,'Prior &amp; Likelihood'!$B$23:$D$23,0))*INDEX('Prior &amp; Likelihood'!$B$45:$D$45,MATCH($C43,'Prior &amp; Likelihood'!$B$41:$D$41,0))*INDEX('Prior &amp; Likelihood'!$B$63:$C$63,MATCH($D43,'Prior &amp; Likelihood'!$B$59:$C$59,0))*INDEX('Prior &amp; Likelihood'!$B$81:$D$81,MATCH($E43,'Prior &amp; Likelihood'!$B$77:$D$77,0))</f>
        <v>0.00314752160187153</v>
      </c>
      <c r="K43" s="4" t="n">
        <f aca="false">'Prior &amp; Likelihood'!C9*INDEX('Prior &amp; Likelihood'!$B$28:$D$28,MATCH($B43,'Prior &amp; Likelihood'!$B$23:$D$23,0))*INDEX('Prior &amp; Likelihood'!$B$46:$D$46,MATCH($C43,'Prior &amp; Likelihood'!$B$41:$D$41,0))*INDEX('Prior &amp; Likelihood'!$B$64:$C$64,MATCH($D43,'Prior &amp; Likelihood'!$B$59:$C$59,0))*INDEX('Prior &amp; Likelihood'!$B$82:$D$82,MATCH($E43,'Prior &amp; Likelihood'!$B$77:$D$77,0))</f>
        <v>0.0154173210939368</v>
      </c>
      <c r="L43" s="4" t="str">
        <f aca="false">INDEX({"drugA","drugB","drugC","drugX","DrugY"},MATCH(MAX(G43:K43),G43:K43,0))</f>
        <v>DrugY</v>
      </c>
      <c r="M43" s="10" t="n">
        <f aca="false">IF(L43=F43,1,0)</f>
        <v>1</v>
      </c>
    </row>
    <row r="44" customFormat="false" ht="15" hidden="false" customHeight="true" outlineLevel="0" collapsed="false">
      <c r="A44" s="4" t="n">
        <v>40</v>
      </c>
      <c r="B44" s="4" t="str">
        <f aca="false">'Splitting Data'!B204</f>
        <v>OLD</v>
      </c>
      <c r="C44" s="4" t="str">
        <f aca="false">'Splitting Data'!C204</f>
        <v>LOW</v>
      </c>
      <c r="D44" s="4" t="str">
        <f aca="false">'Splitting Data'!D204</f>
        <v>HIGH</v>
      </c>
      <c r="E44" s="4" t="str">
        <f aca="false">'Splitting Data'!E204</f>
        <v>NORMAL</v>
      </c>
      <c r="F44" s="4" t="str">
        <f aca="false">'Splitting Data'!F204</f>
        <v>DrugY</v>
      </c>
      <c r="G44" s="4" t="n">
        <f aca="false">'Prior &amp; Likelihood'!C5*INDEX('Prior &amp; Likelihood'!$B$24:$D$24,MATCH($B44,'Prior &amp; Likelihood'!$B$23:$D$23,0))*INDEX('Prior &amp; Likelihood'!$B$42:$D$42,MATCH($C44,'Prior &amp; Likelihood'!$B$41:$D$41,0))*INDEX('Prior &amp; Likelihood'!$B$60:$C$60,MATCH($D44,'Prior &amp; Likelihood'!$B$59:$C$59,0))*INDEX('Prior &amp; Likelihood'!$B$78:$D$78,MATCH($E44,'Prior &amp; Likelihood'!$B$77:$D$77,0))</f>
        <v>0</v>
      </c>
      <c r="H44" s="4" t="n">
        <f aca="false">'Prior &amp; Likelihood'!C6*INDEX('Prior &amp; Likelihood'!$B$25:$D$25,MATCH($B44,'Prior &amp; Likelihood'!$B$23:$D$23,0))*INDEX('Prior &amp; Likelihood'!$B$43:$D$43,MATCH($C44,'Prior &amp; Likelihood'!$B$41:$D$41,0))*INDEX('Prior &amp; Likelihood'!$B$61:$C$61,MATCH($D44,'Prior &amp; Likelihood'!$B$59:$C$59,0))*INDEX('Prior &amp; Likelihood'!$B$79:$D$79,MATCH($E44,'Prior &amp; Likelihood'!$B$77:$D$77,0))</f>
        <v>0</v>
      </c>
      <c r="I44" s="4" t="n">
        <f aca="false">'Prior &amp; Likelihood'!C7*INDEX('Prior &amp; Likelihood'!$B$26:$D$26,MATCH($B44,'Prior &amp; Likelihood'!$B$23:$D$23,0))*INDEX('Prior &amp; Likelihood'!$B$44:$D$44,MATCH($C44,'Prior &amp; Likelihood'!$B$41:$D$41,0))*INDEX('Prior &amp; Likelihood'!$B$62:$C$62,MATCH($D44,'Prior &amp; Likelihood'!$B$59:$C$59,0))*INDEX('Prior &amp; Likelihood'!$B$80:$D$80,MATCH($E44,'Prior &amp; Likelihood'!$B$77:$D$77,0))</f>
        <v>0.0389423076923077</v>
      </c>
      <c r="J44" s="4" t="n">
        <f aca="false">'Prior &amp; Likelihood'!C8*INDEX('Prior &amp; Likelihood'!$B$27:$D$27,MATCH($B44,'Prior &amp; Likelihood'!$B$23:$D$23,0))*INDEX('Prior &amp; Likelihood'!$B$45:$D$45,MATCH($C44,'Prior &amp; Likelihood'!$B$41:$D$41,0))*INDEX('Prior &amp; Likelihood'!$B$63:$C$63,MATCH($D44,'Prior &amp; Likelihood'!$B$59:$C$59,0))*INDEX('Prior &amp; Likelihood'!$B$81:$D$81,MATCH($E44,'Prior &amp; Likelihood'!$B$77:$D$77,0))</f>
        <v>0.00946677651024438</v>
      </c>
      <c r="K44" s="4" t="n">
        <f aca="false">'Prior &amp; Likelihood'!C9*INDEX('Prior &amp; Likelihood'!$B$28:$D$28,MATCH($B44,'Prior &amp; Likelihood'!$B$23:$D$23,0))*INDEX('Prior &amp; Likelihood'!$B$46:$D$46,MATCH($C44,'Prior &amp; Likelihood'!$B$41:$D$41,0))*INDEX('Prior &amp; Likelihood'!$B$64:$C$64,MATCH($D44,'Prior &amp; Likelihood'!$B$59:$C$59,0))*INDEX('Prior &amp; Likelihood'!$B$82:$D$82,MATCH($E44,'Prior &amp; Likelihood'!$B$77:$D$77,0))</f>
        <v>0.0130529000017994</v>
      </c>
      <c r="L44" s="4" t="str">
        <f aca="false">INDEX({"drugA","drugB","drugC","drugX","DrugY"},MATCH(MAX(G44:K44),G44:K44,0))</f>
        <v>drugC</v>
      </c>
      <c r="M44" s="10" t="n">
        <f aca="false">IF(L44=F44,1,0)</f>
        <v>0</v>
      </c>
    </row>
    <row r="46" customFormat="false" ht="15" hidden="false" customHeight="true" outlineLevel="0" collapsed="false">
      <c r="A46" s="8" t="s">
        <v>49</v>
      </c>
      <c r="B46" s="4" t="n">
        <f aca="false">SUM(M5:M44)</f>
        <v>28</v>
      </c>
    </row>
    <row r="47" customFormat="false" ht="15" hidden="false" customHeight="true" outlineLevel="0" collapsed="false">
      <c r="A47" s="8" t="s">
        <v>50</v>
      </c>
      <c r="B47" s="4" t="n">
        <v>40</v>
      </c>
    </row>
    <row r="48" customFormat="false" ht="15" hidden="false" customHeight="true" outlineLevel="0" collapsed="false">
      <c r="A48" s="8" t="s">
        <v>51</v>
      </c>
      <c r="B48" s="11" t="n">
        <f aca="false">B46/B47</f>
        <v>0.7</v>
      </c>
    </row>
  </sheetData>
  <conditionalFormatting sqref="M5:M44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0"/>
    <col collapsed="false" customWidth="true" hidden="false" outlineLevel="0" max="7" min="7" style="1" width="8"/>
  </cols>
  <sheetData>
    <row r="1" customFormat="false" ht="15.75" hidden="false" customHeight="true" outlineLevel="0" collapsed="false">
      <c r="A1" s="2" t="s">
        <v>52</v>
      </c>
    </row>
    <row r="3" customFormat="false" ht="15" hidden="false" customHeight="true" outlineLevel="0" collapsed="false">
      <c r="A3" s="8" t="s">
        <v>53</v>
      </c>
      <c r="B3" s="4" t="n">
        <v>160</v>
      </c>
    </row>
    <row r="4" customFormat="false" ht="15" hidden="false" customHeight="true" outlineLevel="0" collapsed="false">
      <c r="A4" s="8" t="s">
        <v>50</v>
      </c>
      <c r="B4" s="4" t="n">
        <v>40</v>
      </c>
    </row>
    <row r="5" customFormat="false" ht="15" hidden="false" customHeight="true" outlineLevel="0" collapsed="false">
      <c r="A5" s="8" t="s">
        <v>54</v>
      </c>
      <c r="B5" s="4" t="n">
        <f aca="false">SUM('Prediksi &amp; Evaluasi'!M5:M44)</f>
        <v>28</v>
      </c>
    </row>
    <row r="6" customFormat="false" ht="17.25" hidden="false" customHeight="true" outlineLevel="0" collapsed="false">
      <c r="A6" s="8" t="s">
        <v>55</v>
      </c>
      <c r="B6" s="12" t="n">
        <f aca="false">B5/B4</f>
        <v>0.7</v>
      </c>
    </row>
    <row r="9" customFormat="false" ht="15" hidden="false" customHeight="true" outlineLevel="0" collapsed="false">
      <c r="A9" s="8" t="s">
        <v>56</v>
      </c>
    </row>
    <row r="10" customFormat="false" ht="15" hidden="false" customHeight="true" outlineLevel="0" collapsed="false">
      <c r="A10" s="3" t="s">
        <v>57</v>
      </c>
      <c r="B10" s="3" t="s">
        <v>9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30</v>
      </c>
    </row>
    <row r="11" customFormat="false" ht="15" hidden="false" customHeight="true" outlineLevel="0" collapsed="false">
      <c r="A11" s="4" t="s">
        <v>9</v>
      </c>
      <c r="B11" s="4" t="n">
        <f aca="false">COUNTIFS('Prediksi &amp; Evaluasi'!$F$5:$F$44,$A11,'Prediksi &amp; Evaluasi'!$L$5:$L$44,B$10)</f>
        <v>3</v>
      </c>
      <c r="C11" s="4" t="n">
        <f aca="false">COUNTIFS('Prediksi &amp; Evaluasi'!$F$5:$F$44,$A11,'Prediksi &amp; Evaluasi'!$L$5:$L$44,C$10)</f>
        <v>1</v>
      </c>
      <c r="D11" s="4" t="n">
        <f aca="false">COUNTIFS('Prediksi &amp; Evaluasi'!$F$5:$F$44,$A11,'Prediksi &amp; Evaluasi'!$L$5:$L$44,D$10)</f>
        <v>0</v>
      </c>
      <c r="E11" s="4" t="n">
        <f aca="false">COUNTIFS('Prediksi &amp; Evaluasi'!$F$5:$F$44,$A11,'Prediksi &amp; Evaluasi'!$L$5:$L$44,E$10)</f>
        <v>0</v>
      </c>
      <c r="F11" s="4" t="n">
        <f aca="false">COUNTIFS('Prediksi &amp; Evaluasi'!$F$5:$F$44,$A11,'Prediksi &amp; Evaluasi'!$L$5:$L$44,F$10)</f>
        <v>1</v>
      </c>
      <c r="G11" s="4" t="n">
        <f aca="false">SUM(B11:F11)</f>
        <v>5</v>
      </c>
    </row>
    <row r="12" customFormat="false" ht="15" hidden="false" customHeight="true" outlineLevel="0" collapsed="false">
      <c r="A12" s="4" t="s">
        <v>13</v>
      </c>
      <c r="B12" s="4" t="n">
        <f aca="false">COUNTIFS('Prediksi &amp; Evaluasi'!$F$5:$F$44,$A12,'Prediksi &amp; Evaluasi'!$L$5:$L$44,B$10)</f>
        <v>0</v>
      </c>
      <c r="C12" s="4" t="n">
        <f aca="false">COUNTIFS('Prediksi &amp; Evaluasi'!$F$5:$F$44,$A12,'Prediksi &amp; Evaluasi'!$L$5:$L$44,C$10)</f>
        <v>3</v>
      </c>
      <c r="D12" s="4" t="n">
        <f aca="false">COUNTIFS('Prediksi &amp; Evaluasi'!$F$5:$F$44,$A12,'Prediksi &amp; Evaluasi'!$L$5:$L$44,D$10)</f>
        <v>0</v>
      </c>
      <c r="E12" s="4" t="n">
        <f aca="false">COUNTIFS('Prediksi &amp; Evaluasi'!$F$5:$F$44,$A12,'Prediksi &amp; Evaluasi'!$L$5:$L$44,E$10)</f>
        <v>0</v>
      </c>
      <c r="F12" s="4" t="n">
        <f aca="false">COUNTIFS('Prediksi &amp; Evaluasi'!$F$5:$F$44,$A12,'Prediksi &amp; Evaluasi'!$L$5:$L$44,F$10)</f>
        <v>0</v>
      </c>
      <c r="G12" s="4" t="n">
        <f aca="false">SUM(B12:F12)</f>
        <v>3</v>
      </c>
    </row>
    <row r="13" customFormat="false" ht="15" hidden="false" customHeight="true" outlineLevel="0" collapsed="false">
      <c r="A13" s="4" t="s">
        <v>14</v>
      </c>
      <c r="B13" s="4" t="n">
        <f aca="false">COUNTIFS('Prediksi &amp; Evaluasi'!$F$5:$F$44,$A13,'Prediksi &amp; Evaluasi'!$L$5:$L$44,B$10)</f>
        <v>0</v>
      </c>
      <c r="C13" s="4" t="n">
        <f aca="false">COUNTIFS('Prediksi &amp; Evaluasi'!$F$5:$F$44,$A13,'Prediksi &amp; Evaluasi'!$L$5:$L$44,C$10)</f>
        <v>0</v>
      </c>
      <c r="D13" s="4" t="n">
        <f aca="false">COUNTIFS('Prediksi &amp; Evaluasi'!$F$5:$F$44,$A13,'Prediksi &amp; Evaluasi'!$L$5:$L$44,D$10)</f>
        <v>1</v>
      </c>
      <c r="E13" s="4" t="n">
        <f aca="false">COUNTIFS('Prediksi &amp; Evaluasi'!$F$5:$F$44,$A13,'Prediksi &amp; Evaluasi'!$L$5:$L$44,E$10)</f>
        <v>1</v>
      </c>
      <c r="F13" s="4" t="n">
        <f aca="false">COUNTIFS('Prediksi &amp; Evaluasi'!$F$5:$F$44,$A13,'Prediksi &amp; Evaluasi'!$L$5:$L$44,F$10)</f>
        <v>1</v>
      </c>
      <c r="G13" s="4" t="n">
        <f aca="false">SUM(B13:F13)</f>
        <v>3</v>
      </c>
    </row>
    <row r="14" customFormat="false" ht="15" hidden="false" customHeight="true" outlineLevel="0" collapsed="false">
      <c r="A14" s="4" t="s">
        <v>15</v>
      </c>
      <c r="B14" s="4" t="n">
        <f aca="false">COUNTIFS('Prediksi &amp; Evaluasi'!$F$5:$F$44,$A14,'Prediksi &amp; Evaluasi'!$L$5:$L$44,B$10)</f>
        <v>0</v>
      </c>
      <c r="C14" s="4" t="n">
        <f aca="false">COUNTIFS('Prediksi &amp; Evaluasi'!$F$5:$F$44,$A14,'Prediksi &amp; Evaluasi'!$L$5:$L$44,C$10)</f>
        <v>0</v>
      </c>
      <c r="D14" s="4" t="n">
        <f aca="false">COUNTIFS('Prediksi &amp; Evaluasi'!$F$5:$F$44,$A14,'Prediksi &amp; Evaluasi'!$L$5:$L$44,D$10)</f>
        <v>0</v>
      </c>
      <c r="E14" s="4" t="n">
        <f aca="false">COUNTIFS('Prediksi &amp; Evaluasi'!$F$5:$F$44,$A14,'Prediksi &amp; Evaluasi'!$L$5:$L$44,E$10)</f>
        <v>7</v>
      </c>
      <c r="F14" s="4" t="n">
        <f aca="false">COUNTIFS('Prediksi &amp; Evaluasi'!$F$5:$F$44,$A14,'Prediksi &amp; Evaluasi'!$L$5:$L$44,F$10)</f>
        <v>4</v>
      </c>
      <c r="G14" s="4" t="n">
        <f aca="false">SUM(B14:F14)</f>
        <v>11</v>
      </c>
    </row>
    <row r="15" customFormat="false" ht="15" hidden="false" customHeight="true" outlineLevel="0" collapsed="false">
      <c r="A15" s="4" t="s">
        <v>16</v>
      </c>
      <c r="B15" s="4" t="n">
        <f aca="false">COUNTIFS('Prediksi &amp; Evaluasi'!$F$5:$F$44,$A15,'Prediksi &amp; Evaluasi'!$L$5:$L$44,B$10)</f>
        <v>1</v>
      </c>
      <c r="C15" s="4" t="n">
        <f aca="false">COUNTIFS('Prediksi &amp; Evaluasi'!$F$5:$F$44,$A15,'Prediksi &amp; Evaluasi'!$L$5:$L$44,C$10)</f>
        <v>0</v>
      </c>
      <c r="D15" s="4" t="n">
        <f aca="false">COUNTIFS('Prediksi &amp; Evaluasi'!$F$5:$F$44,$A15,'Prediksi &amp; Evaluasi'!$L$5:$L$44,D$10)</f>
        <v>3</v>
      </c>
      <c r="E15" s="4" t="n">
        <f aca="false">COUNTIFS('Prediksi &amp; Evaluasi'!$F$5:$F$44,$A15,'Prediksi &amp; Evaluasi'!$L$5:$L$44,E$10)</f>
        <v>0</v>
      </c>
      <c r="F15" s="4" t="n">
        <f aca="false">COUNTIFS('Prediksi &amp; Evaluasi'!$F$5:$F$44,$A15,'Prediksi &amp; Evaluasi'!$L$5:$L$44,F$10)</f>
        <v>14</v>
      </c>
      <c r="G15" s="4" t="n">
        <f aca="false">SUM(B15:F15)</f>
        <v>18</v>
      </c>
    </row>
    <row r="16" customFormat="false" ht="15" hidden="false" customHeight="true" outlineLevel="0" collapsed="false">
      <c r="A16" s="4" t="s">
        <v>30</v>
      </c>
      <c r="B16" s="4" t="n">
        <f aca="false">SUM(B11:B15)</f>
        <v>4</v>
      </c>
      <c r="C16" s="4" t="n">
        <f aca="false">SUM(C11:C15)</f>
        <v>4</v>
      </c>
      <c r="D16" s="4" t="n">
        <f aca="false">SUM(D11:D15)</f>
        <v>4</v>
      </c>
      <c r="E16" s="4" t="n">
        <f aca="false">SUM(E11:E15)</f>
        <v>8</v>
      </c>
      <c r="F16" s="4" t="n">
        <f aca="false">SUM(F11:F15)</f>
        <v>20</v>
      </c>
      <c r="G16" s="4" t="n">
        <f aca="false">SUM(G11:G15)</f>
        <v>40</v>
      </c>
    </row>
    <row r="18" customFormat="false" ht="15" hidden="false" customHeight="true" outlineLevel="0" collapsed="false">
      <c r="A18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9" min="5" style="0" width="12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3" t="s">
        <v>59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42" hidden="false" customHeight="true" outlineLevel="0" collapsed="false">
      <c r="A2" s="14" t="s">
        <v>60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customFormat="false" ht="15" hidden="false" customHeight="false" outlineLevel="0" collapsed="false">
      <c r="A4" s="15" t="s">
        <v>61</v>
      </c>
    </row>
    <row r="5" customFormat="false" ht="15" hidden="false" customHeight="false" outlineLevel="0" collapsed="false">
      <c r="A5" s="16" t="s">
        <v>27</v>
      </c>
      <c r="B5" s="16" t="s">
        <v>62</v>
      </c>
      <c r="C5" s="16" t="s">
        <v>63</v>
      </c>
      <c r="D5" s="16" t="s">
        <v>64</v>
      </c>
    </row>
    <row r="6" customFormat="false" ht="15" hidden="false" customHeight="false" outlineLevel="0" collapsed="false">
      <c r="A6" s="17" t="str">
        <f aca="false">'Prior &amp; Likelihood'!A5</f>
        <v>drugA</v>
      </c>
      <c r="B6" s="17" t="n">
        <f aca="false">'Prior &amp; Likelihood'!B5</f>
        <v>18</v>
      </c>
      <c r="C6" s="18" t="n">
        <f aca="false">B6/'Prior &amp; Likelihood'!$B$10</f>
        <v>0.1125</v>
      </c>
      <c r="D6" s="19" t="n">
        <f aca="false">'Prior &amp; Likelihood'!$B$10/(5*B6)</f>
        <v>1.77777777777778</v>
      </c>
    </row>
    <row r="7" customFormat="false" ht="15" hidden="false" customHeight="false" outlineLevel="0" collapsed="false">
      <c r="A7" s="17" t="str">
        <f aca="false">'Prior &amp; Likelihood'!A6</f>
        <v>drugB</v>
      </c>
      <c r="B7" s="17" t="n">
        <f aca="false">'Prior &amp; Likelihood'!B6</f>
        <v>13</v>
      </c>
      <c r="C7" s="18" t="n">
        <f aca="false">B7/'Prior &amp; Likelihood'!$B$10</f>
        <v>0.08125</v>
      </c>
      <c r="D7" s="19" t="n">
        <f aca="false">'Prior &amp; Likelihood'!$B$10/(5*B7)</f>
        <v>2.46153846153846</v>
      </c>
    </row>
    <row r="8" customFormat="false" ht="15" hidden="false" customHeight="false" outlineLevel="0" collapsed="false">
      <c r="A8" s="17" t="str">
        <f aca="false">'Prior &amp; Likelihood'!A7</f>
        <v>drugC</v>
      </c>
      <c r="B8" s="17" t="n">
        <f aca="false">'Prior &amp; Likelihood'!B7</f>
        <v>13</v>
      </c>
      <c r="C8" s="18" t="n">
        <f aca="false">B8/'Prior &amp; Likelihood'!$B$10</f>
        <v>0.08125</v>
      </c>
      <c r="D8" s="19" t="n">
        <f aca="false">'Prior &amp; Likelihood'!$B$10/(5*B8)</f>
        <v>2.46153846153846</v>
      </c>
    </row>
    <row r="9" customFormat="false" ht="15" hidden="false" customHeight="false" outlineLevel="0" collapsed="false">
      <c r="A9" s="17" t="str">
        <f aca="false">'Prior &amp; Likelihood'!A8</f>
        <v>drugX</v>
      </c>
      <c r="B9" s="17" t="n">
        <f aca="false">'Prior &amp; Likelihood'!B8</f>
        <v>43</v>
      </c>
      <c r="C9" s="18" t="n">
        <f aca="false">B9/'Prior &amp; Likelihood'!$B$10</f>
        <v>0.26875</v>
      </c>
      <c r="D9" s="19" t="n">
        <f aca="false">'Prior &amp; Likelihood'!$B$10/(5*B9)</f>
        <v>0.744186046511628</v>
      </c>
    </row>
    <row r="10" customFormat="false" ht="15" hidden="false" customHeight="false" outlineLevel="0" collapsed="false">
      <c r="A10" s="17" t="str">
        <f aca="false">'Prior &amp; Likelihood'!A9</f>
        <v>DrugY</v>
      </c>
      <c r="B10" s="17" t="n">
        <f aca="false">'Prior &amp; Likelihood'!B9</f>
        <v>73</v>
      </c>
      <c r="C10" s="18" t="n">
        <f aca="false">B10/'Prior &amp; Likelihood'!$B$10</f>
        <v>0.45625</v>
      </c>
      <c r="D10" s="19" t="n">
        <f aca="false">'Prior &amp; Likelihood'!$B$10/(5*B10)</f>
        <v>0.438356164383562</v>
      </c>
    </row>
    <row r="11" customFormat="false" ht="15" hidden="false" customHeight="false" outlineLevel="0" collapsed="false">
      <c r="A11" s="20" t="s">
        <v>30</v>
      </c>
      <c r="B11" s="20" t="n">
        <f aca="false">SUM(B6:B10)</f>
        <v>160</v>
      </c>
      <c r="C11" s="21" t="n">
        <f aca="false">SUM(C6:C10)</f>
        <v>1</v>
      </c>
      <c r="D11" s="22"/>
    </row>
    <row r="13" customFormat="false" ht="27.75" hidden="false" customHeight="true" outlineLevel="0" collapsed="false">
      <c r="A13" s="14" t="s">
        <v>65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6" customFormat="false" ht="15" hidden="false" customHeight="false" outlineLevel="0" collapsed="false">
      <c r="A16" s="15" t="s">
        <v>66</v>
      </c>
    </row>
    <row r="17" customFormat="false" ht="23.85" hidden="false" customHeight="true" outlineLevel="0" collapsed="false">
      <c r="A17" s="14" t="s">
        <v>67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9" customFormat="false" ht="30" hidden="false" customHeight="true" outlineLevel="0" collapsed="false">
      <c r="A19" s="23" t="s">
        <v>19</v>
      </c>
      <c r="B19" s="23" t="s">
        <v>41</v>
      </c>
      <c r="C19" s="23" t="s">
        <v>68</v>
      </c>
      <c r="D19" s="23" t="s">
        <v>69</v>
      </c>
      <c r="E19" s="23" t="s">
        <v>70</v>
      </c>
      <c r="F19" s="23" t="s">
        <v>71</v>
      </c>
      <c r="G19" s="23" t="s">
        <v>72</v>
      </c>
      <c r="H19" s="23" t="s">
        <v>73</v>
      </c>
      <c r="I19" s="23" t="s">
        <v>74</v>
      </c>
      <c r="J19" s="23" t="s">
        <v>75</v>
      </c>
      <c r="K19" s="23" t="s">
        <v>76</v>
      </c>
    </row>
    <row r="20" customFormat="false" ht="15" hidden="false" customHeight="false" outlineLevel="0" collapsed="false">
      <c r="A20" s="17" t="n">
        <v>1</v>
      </c>
      <c r="B20" s="17" t="str">
        <f aca="false">'Prediksi &amp; Evaluasi'!F5</f>
        <v>drugA</v>
      </c>
      <c r="C20" s="17" t="str">
        <f aca="false">'Prediksi &amp; Evaluasi'!L5</f>
        <v>DrugY</v>
      </c>
      <c r="D20" s="17" t="n">
        <f aca="false">'Prediksi &amp; Evaluasi'!M5</f>
        <v>0</v>
      </c>
      <c r="E20" s="24" t="n">
        <f aca="false">'Prediksi &amp; Evaluasi'!G5*$D$6</f>
        <v>0.00905349794238683</v>
      </c>
      <c r="F20" s="24" t="n">
        <f aca="false">'Prediksi &amp; Evaluasi'!H5*$D$7</f>
        <v>0</v>
      </c>
      <c r="G20" s="24" t="n">
        <f aca="false">'Prediksi &amp; Evaluasi'!I5*$D$8</f>
        <v>0</v>
      </c>
      <c r="H20" s="24" t="n">
        <f aca="false">'Prediksi &amp; Evaluasi'!J5*$D$9</f>
        <v>0</v>
      </c>
      <c r="I20" s="24" t="n">
        <f aca="false">'Prediksi &amp; Evaluasi'!K5*$D$10</f>
        <v>0.00343138858494792</v>
      </c>
      <c r="J20" s="17" t="str">
        <f aca="false">INDEX({"drugA","drugB","drugC","drugX","DrugY"},MATCH(MAX(E20:I20),E20:I20,0))</f>
        <v>drugA</v>
      </c>
      <c r="K20" s="17" t="n">
        <f aca="false">IF(J20=B20,1,0)</f>
        <v>1</v>
      </c>
    </row>
    <row r="21" customFormat="false" ht="15" hidden="false" customHeight="false" outlineLevel="0" collapsed="false">
      <c r="A21" s="17" t="n">
        <v>2</v>
      </c>
      <c r="B21" s="17" t="str">
        <f aca="false">'Prediksi &amp; Evaluasi'!F6</f>
        <v>drugA</v>
      </c>
      <c r="C21" s="17" t="str">
        <f aca="false">'Prediksi &amp; Evaluasi'!L6</f>
        <v>drugA</v>
      </c>
      <c r="D21" s="17" t="n">
        <f aca="false">'Prediksi &amp; Evaluasi'!M6</f>
        <v>1</v>
      </c>
      <c r="E21" s="24" t="n">
        <f aca="false">'Prediksi &amp; Evaluasi'!G6*$D$6</f>
        <v>0.0377229080932785</v>
      </c>
      <c r="F21" s="24" t="n">
        <f aca="false">'Prediksi &amp; Evaluasi'!H6*$D$7</f>
        <v>0</v>
      </c>
      <c r="G21" s="24" t="n">
        <f aca="false">'Prediksi &amp; Evaluasi'!I6*$D$8</f>
        <v>0</v>
      </c>
      <c r="H21" s="24" t="n">
        <f aca="false">'Prediksi &amp; Evaluasi'!J6*$D$9</f>
        <v>0</v>
      </c>
      <c r="I21" s="24" t="n">
        <f aca="false">'Prediksi &amp; Evaluasi'!K6*$D$10</f>
        <v>0.00644315963090812</v>
      </c>
      <c r="J21" s="17" t="str">
        <f aca="false">INDEX({"drugA","drugB","drugC","drugX","DrugY"},MATCH(MAX(E21:I21),E21:I21,0))</f>
        <v>drugA</v>
      </c>
      <c r="K21" s="17" t="n">
        <f aca="false">IF(J21=B21,1,0)</f>
        <v>1</v>
      </c>
    </row>
    <row r="22" customFormat="false" ht="15" hidden="false" customHeight="false" outlineLevel="0" collapsed="false">
      <c r="A22" s="17" t="n">
        <v>3</v>
      </c>
      <c r="B22" s="17" t="str">
        <f aca="false">'Prediksi &amp; Evaluasi'!F7</f>
        <v>drugA</v>
      </c>
      <c r="C22" s="17" t="str">
        <f aca="false">'Prediksi &amp; Evaluasi'!L7</f>
        <v>drugA</v>
      </c>
      <c r="D22" s="17" t="n">
        <f aca="false">'Prediksi &amp; Evaluasi'!M7</f>
        <v>1</v>
      </c>
      <c r="E22" s="24" t="n">
        <f aca="false">'Prediksi &amp; Evaluasi'!G7*$D$6</f>
        <v>0.0301783264746228</v>
      </c>
      <c r="F22" s="24" t="n">
        <f aca="false">'Prediksi &amp; Evaluasi'!H7*$D$7</f>
        <v>0</v>
      </c>
      <c r="G22" s="24" t="n">
        <f aca="false">'Prediksi &amp; Evaluasi'!I7*$D$8</f>
        <v>0</v>
      </c>
      <c r="H22" s="24" t="n">
        <f aca="false">'Prediksi &amp; Evaluasi'!J7*$D$9</f>
        <v>0</v>
      </c>
      <c r="I22" s="24" t="n">
        <f aca="false">'Prediksi &amp; Evaluasi'!K7*$D$10</f>
        <v>0.00739068310604167</v>
      </c>
      <c r="J22" s="17" t="str">
        <f aca="false">INDEX({"drugA","drugB","drugC","drugX","DrugY"},MATCH(MAX(E22:I22),E22:I22,0))</f>
        <v>drugA</v>
      </c>
      <c r="K22" s="17" t="n">
        <f aca="false">IF(J22=B22,1,0)</f>
        <v>1</v>
      </c>
    </row>
    <row r="23" customFormat="false" ht="15" hidden="false" customHeight="false" outlineLevel="0" collapsed="false">
      <c r="A23" s="17" t="n">
        <v>4</v>
      </c>
      <c r="B23" s="17" t="str">
        <f aca="false">'Prediksi &amp; Evaluasi'!F8</f>
        <v>drugA</v>
      </c>
      <c r="C23" s="17" t="str">
        <f aca="false">'Prediksi &amp; Evaluasi'!L8</f>
        <v>drugA</v>
      </c>
      <c r="D23" s="17" t="n">
        <f aca="false">'Prediksi &amp; Evaluasi'!M8</f>
        <v>1</v>
      </c>
      <c r="E23" s="24" t="n">
        <f aca="false">'Prediksi &amp; Evaluasi'!G8*$D$6</f>
        <v>0.0301783264746228</v>
      </c>
      <c r="F23" s="24" t="n">
        <f aca="false">'Prediksi &amp; Evaluasi'!H8*$D$7</f>
        <v>0</v>
      </c>
      <c r="G23" s="24" t="n">
        <f aca="false">'Prediksi &amp; Evaluasi'!I8*$D$8</f>
        <v>0</v>
      </c>
      <c r="H23" s="24" t="n">
        <f aca="false">'Prediksi &amp; Evaluasi'!J8*$D$9</f>
        <v>0</v>
      </c>
      <c r="I23" s="24" t="n">
        <f aca="false">'Prediksi &amp; Evaluasi'!K8*$D$10</f>
        <v>0.00739068310604167</v>
      </c>
      <c r="J23" s="17" t="str">
        <f aca="false">INDEX({"drugA","drugB","drugC","drugX","DrugY"},MATCH(MAX(E23:I23),E23:I23,0))</f>
        <v>drugA</v>
      </c>
      <c r="K23" s="17" t="n">
        <f aca="false">IF(J23=B23,1,0)</f>
        <v>1</v>
      </c>
    </row>
    <row r="24" customFormat="false" ht="15" hidden="false" customHeight="false" outlineLevel="0" collapsed="false">
      <c r="A24" s="17" t="n">
        <v>5</v>
      </c>
      <c r="B24" s="17" t="str">
        <f aca="false">'Prediksi &amp; Evaluasi'!F9</f>
        <v>drugA</v>
      </c>
      <c r="C24" s="17" t="str">
        <f aca="false">'Prediksi &amp; Evaluasi'!L9</f>
        <v>drugB</v>
      </c>
      <c r="D24" s="17" t="n">
        <f aca="false">'Prediksi &amp; Evaluasi'!M9</f>
        <v>0</v>
      </c>
      <c r="E24" s="24" t="n">
        <f aca="false">'Prediksi &amp; Evaluasi'!G9*$D$6</f>
        <v>0.0150891632373114</v>
      </c>
      <c r="F24" s="24" t="n">
        <f aca="false">'Prediksi &amp; Evaluasi'!H9*$D$7</f>
        <v>0.063905325443787</v>
      </c>
      <c r="G24" s="24" t="n">
        <f aca="false">'Prediksi &amp; Evaluasi'!I9*$D$8</f>
        <v>0</v>
      </c>
      <c r="H24" s="24" t="n">
        <f aca="false">'Prediksi &amp; Evaluasi'!J9*$D$9</f>
        <v>0</v>
      </c>
      <c r="I24" s="24" t="n">
        <f aca="false">'Prediksi &amp; Evaluasi'!K9*$D$10</f>
        <v>0.00844649497833334</v>
      </c>
      <c r="J24" s="17" t="str">
        <f aca="false">INDEX({"drugA","drugB","drugC","drugX","DrugY"},MATCH(MAX(E24:I24),E24:I24,0))</f>
        <v>drugB</v>
      </c>
      <c r="K24" s="17" t="n">
        <f aca="false">IF(J24=B24,1,0)</f>
        <v>0</v>
      </c>
    </row>
    <row r="25" customFormat="false" ht="15" hidden="false" customHeight="false" outlineLevel="0" collapsed="false">
      <c r="A25" s="17" t="n">
        <v>6</v>
      </c>
      <c r="B25" s="17" t="str">
        <f aca="false">'Prediksi &amp; Evaluasi'!F10</f>
        <v>drugB</v>
      </c>
      <c r="C25" s="17" t="str">
        <f aca="false">'Prediksi &amp; Evaluasi'!L10</f>
        <v>drugB</v>
      </c>
      <c r="D25" s="17" t="n">
        <f aca="false">'Prediksi &amp; Evaluasi'!M10</f>
        <v>1</v>
      </c>
      <c r="E25" s="24" t="n">
        <f aca="false">'Prediksi &amp; Evaluasi'!G10*$D$6</f>
        <v>0.00857338820301783</v>
      </c>
      <c r="F25" s="24" t="n">
        <f aca="false">'Prediksi &amp; Evaluasi'!H10*$D$7</f>
        <v>0.0248520710059172</v>
      </c>
      <c r="G25" s="24" t="n">
        <f aca="false">'Prediksi &amp; Evaluasi'!I10*$D$8</f>
        <v>0</v>
      </c>
      <c r="H25" s="24" t="n">
        <f aca="false">'Prediksi &amp; Evaluasi'!J10*$D$9</f>
        <v>0</v>
      </c>
      <c r="I25" s="24" t="n">
        <f aca="false">'Prediksi &amp; Evaluasi'!K10*$D$10</f>
        <v>0</v>
      </c>
      <c r="J25" s="17" t="str">
        <f aca="false">INDEX({"drugA","drugB","drugC","drugX","DrugY"},MATCH(MAX(E25:I25),E25:I25,0))</f>
        <v>drugB</v>
      </c>
      <c r="K25" s="17" t="n">
        <f aca="false">IF(J25=B25,1,0)</f>
        <v>1</v>
      </c>
    </row>
    <row r="26" customFormat="false" ht="15" hidden="false" customHeight="false" outlineLevel="0" collapsed="false">
      <c r="A26" s="17" t="n">
        <v>7</v>
      </c>
      <c r="B26" s="17" t="str">
        <f aca="false">'Prediksi &amp; Evaluasi'!F11</f>
        <v>drugB</v>
      </c>
      <c r="C26" s="17" t="str">
        <f aca="false">'Prediksi &amp; Evaluasi'!L11</f>
        <v>drugB</v>
      </c>
      <c r="D26" s="17" t="n">
        <f aca="false">'Prediksi &amp; Evaluasi'!M11</f>
        <v>1</v>
      </c>
      <c r="E26" s="24" t="n">
        <f aca="false">'Prediksi &amp; Evaluasi'!G11*$D$6</f>
        <v>0.0150891632373114</v>
      </c>
      <c r="F26" s="24" t="n">
        <f aca="false">'Prediksi &amp; Evaluasi'!H11*$D$7</f>
        <v>0.063905325443787</v>
      </c>
      <c r="G26" s="24" t="n">
        <f aca="false">'Prediksi &amp; Evaluasi'!I11*$D$8</f>
        <v>0</v>
      </c>
      <c r="H26" s="24" t="n">
        <f aca="false">'Prediksi &amp; Evaluasi'!J11*$D$9</f>
        <v>0</v>
      </c>
      <c r="I26" s="24" t="n">
        <f aca="false">'Prediksi &amp; Evaluasi'!K11*$D$10</f>
        <v>0.00844649497833334</v>
      </c>
      <c r="J26" s="17" t="str">
        <f aca="false">INDEX({"drugA","drugB","drugC","drugX","DrugY"},MATCH(MAX(E26:I26),E26:I26,0))</f>
        <v>drugB</v>
      </c>
      <c r="K26" s="17" t="n">
        <f aca="false">IF(J26=B26,1,0)</f>
        <v>1</v>
      </c>
    </row>
    <row r="27" customFormat="false" ht="15" hidden="false" customHeight="false" outlineLevel="0" collapsed="false">
      <c r="A27" s="17" t="n">
        <v>8</v>
      </c>
      <c r="B27" s="17" t="str">
        <f aca="false">'Prediksi &amp; Evaluasi'!F12</f>
        <v>drugB</v>
      </c>
      <c r="C27" s="17" t="str">
        <f aca="false">'Prediksi &amp; Evaluasi'!L12</f>
        <v>drugB</v>
      </c>
      <c r="D27" s="17" t="n">
        <f aca="false">'Prediksi &amp; Evaluasi'!M12</f>
        <v>1</v>
      </c>
      <c r="E27" s="24" t="n">
        <f aca="false">'Prediksi &amp; Evaluasi'!G12*$D$6</f>
        <v>0.00685871056241427</v>
      </c>
      <c r="F27" s="24" t="n">
        <f aca="false">'Prediksi &amp; Evaluasi'!H12*$D$7</f>
        <v>0.021301775147929</v>
      </c>
      <c r="G27" s="24" t="n">
        <f aca="false">'Prediksi &amp; Evaluasi'!I12*$D$8</f>
        <v>0</v>
      </c>
      <c r="H27" s="24" t="n">
        <f aca="false">'Prediksi &amp; Evaluasi'!J12*$D$9</f>
        <v>0</v>
      </c>
      <c r="I27" s="24" t="n">
        <f aca="false">'Prediksi &amp; Evaluasi'!K12*$D$10</f>
        <v>0</v>
      </c>
      <c r="J27" s="17" t="str">
        <f aca="false">INDEX({"drugA","drugB","drugC","drugX","DrugY"},MATCH(MAX(E27:I27),E27:I27,0))</f>
        <v>drugB</v>
      </c>
      <c r="K27" s="17" t="n">
        <f aca="false">IF(J27=B27,1,0)</f>
        <v>1</v>
      </c>
    </row>
    <row r="28" customFormat="false" ht="15" hidden="false" customHeight="false" outlineLevel="0" collapsed="false">
      <c r="A28" s="17" t="n">
        <v>9</v>
      </c>
      <c r="B28" s="17" t="str">
        <f aca="false">'Prediksi &amp; Evaluasi'!F13</f>
        <v>drugC</v>
      </c>
      <c r="C28" s="17" t="str">
        <f aca="false">'Prediksi &amp; Evaluasi'!L13</f>
        <v>DrugY</v>
      </c>
      <c r="D28" s="17" t="n">
        <f aca="false">'Prediksi &amp; Evaluasi'!M13</f>
        <v>0</v>
      </c>
      <c r="E28" s="24" t="n">
        <f aca="false">'Prediksi &amp; Evaluasi'!G13*$D$6</f>
        <v>0</v>
      </c>
      <c r="F28" s="24" t="n">
        <f aca="false">'Prediksi &amp; Evaluasi'!H13*$D$7</f>
        <v>0</v>
      </c>
      <c r="G28" s="24" t="n">
        <f aca="false">'Prediksi &amp; Evaluasi'!I13*$D$8</f>
        <v>0.0106508875739645</v>
      </c>
      <c r="H28" s="24" t="n">
        <f aca="false">'Prediksi &amp; Evaluasi'!J13*$D$9</f>
        <v>0.0028820630390596</v>
      </c>
      <c r="I28" s="24" t="n">
        <f aca="false">'Prediksi &amp; Evaluasi'!K13*$D$10</f>
        <v>0.00232448904141633</v>
      </c>
      <c r="J28" s="17" t="str">
        <f aca="false">INDEX({"drugA","drugB","drugC","drugX","DrugY"},MATCH(MAX(E28:I28),E28:I28,0))</f>
        <v>drugC</v>
      </c>
      <c r="K28" s="17" t="n">
        <f aca="false">IF(J28=B28,1,0)</f>
        <v>1</v>
      </c>
    </row>
    <row r="29" customFormat="false" ht="15" hidden="false" customHeight="false" outlineLevel="0" collapsed="false">
      <c r="A29" s="17" t="n">
        <v>10</v>
      </c>
      <c r="B29" s="17" t="str">
        <f aca="false">'Prediksi &amp; Evaluasi'!F14</f>
        <v>drugC</v>
      </c>
      <c r="C29" s="17" t="str">
        <f aca="false">'Prediksi &amp; Evaluasi'!L14</f>
        <v>drugX</v>
      </c>
      <c r="D29" s="17" t="n">
        <f aca="false">'Prediksi &amp; Evaluasi'!M14</f>
        <v>0</v>
      </c>
      <c r="E29" s="24" t="n">
        <f aca="false">'Prediksi &amp; Evaluasi'!G14*$D$6</f>
        <v>0</v>
      </c>
      <c r="F29" s="24" t="n">
        <f aca="false">'Prediksi &amp; Evaluasi'!H14*$D$7</f>
        <v>0</v>
      </c>
      <c r="G29" s="24" t="n">
        <f aca="false">'Prediksi &amp; Evaluasi'!I14*$D$8</f>
        <v>0.00355029585798817</v>
      </c>
      <c r="H29" s="24" t="n">
        <f aca="false">'Prediksi &amp; Evaluasi'!J14*$D$9</f>
        <v>0.00187960632982148</v>
      </c>
      <c r="I29" s="24" t="n">
        <f aca="false">'Prediksi &amp; Evaluasi'!K14*$D$10</f>
        <v>0</v>
      </c>
      <c r="J29" s="17" t="str">
        <f aca="false">INDEX({"drugA","drugB","drugC","drugX","DrugY"},MATCH(MAX(E29:I29),E29:I29,0))</f>
        <v>drugC</v>
      </c>
      <c r="K29" s="17" t="n">
        <f aca="false">IF(J29=B29,1,0)</f>
        <v>1</v>
      </c>
    </row>
    <row r="30" customFormat="false" ht="15" hidden="false" customHeight="false" outlineLevel="0" collapsed="false">
      <c r="A30" s="17" t="n">
        <v>11</v>
      </c>
      <c r="B30" s="17" t="str">
        <f aca="false">'Prediksi &amp; Evaluasi'!F15</f>
        <v>drugC</v>
      </c>
      <c r="C30" s="17" t="str">
        <f aca="false">'Prediksi &amp; Evaluasi'!L15</f>
        <v>drugC</v>
      </c>
      <c r="D30" s="17" t="n">
        <f aca="false">'Prediksi &amp; Evaluasi'!M15</f>
        <v>1</v>
      </c>
      <c r="E30" s="24" t="n">
        <f aca="false">'Prediksi &amp; Evaluasi'!G15*$D$6</f>
        <v>0</v>
      </c>
      <c r="F30" s="24" t="n">
        <f aca="false">'Prediksi &amp; Evaluasi'!H15*$D$7</f>
        <v>0</v>
      </c>
      <c r="G30" s="24" t="n">
        <f aca="false">'Prediksi &amp; Evaluasi'!I15*$D$8</f>
        <v>0.0319526627218935</v>
      </c>
      <c r="H30" s="24" t="n">
        <f aca="false">'Prediksi &amp; Evaluasi'!J15*$D$9</f>
        <v>0.00384275071874613</v>
      </c>
      <c r="I30" s="24" t="n">
        <f aca="false">'Prediksi &amp; Evaluasi'!K15*$D$10</f>
        <v>0.0050065917815121</v>
      </c>
      <c r="J30" s="17" t="str">
        <f aca="false">INDEX({"drugA","drugB","drugC","drugX","DrugY"},MATCH(MAX(E30:I30),E30:I30,0))</f>
        <v>drugC</v>
      </c>
      <c r="K30" s="17" t="n">
        <f aca="false">IF(J30=B30,1,0)</f>
        <v>1</v>
      </c>
    </row>
    <row r="31" customFormat="false" ht="15" hidden="false" customHeight="false" outlineLevel="0" collapsed="false">
      <c r="A31" s="17" t="n">
        <v>12</v>
      </c>
      <c r="B31" s="17" t="str">
        <f aca="false">'Prediksi &amp; Evaluasi'!F16</f>
        <v>drugX</v>
      </c>
      <c r="C31" s="17" t="str">
        <f aca="false">'Prediksi &amp; Evaluasi'!L16</f>
        <v>drugX</v>
      </c>
      <c r="D31" s="17" t="n">
        <f aca="false">'Prediksi &amp; Evaluasi'!M16</f>
        <v>1</v>
      </c>
      <c r="E31" s="24" t="n">
        <f aca="false">'Prediksi &amp; Evaluasi'!G16*$D$6</f>
        <v>0</v>
      </c>
      <c r="F31" s="24" t="n">
        <f aca="false">'Prediksi &amp; Evaluasi'!H16*$D$7</f>
        <v>0</v>
      </c>
      <c r="G31" s="24" t="n">
        <f aca="false">'Prediksi &amp; Evaluasi'!I16*$D$8</f>
        <v>0</v>
      </c>
      <c r="H31" s="24" t="n">
        <f aca="false">'Prediksi &amp; Evaluasi'!J16*$D$9</f>
        <v>0.00596998772376631</v>
      </c>
      <c r="I31" s="24" t="n">
        <f aca="false">'Prediksi &amp; Evaluasi'!K16*$D$10</f>
        <v>0.00232448904141633</v>
      </c>
      <c r="J31" s="17" t="str">
        <f aca="false">INDEX({"drugA","drugB","drugC","drugX","DrugY"},MATCH(MAX(E31:I31),E31:I31,0))</f>
        <v>drugX</v>
      </c>
      <c r="K31" s="17" t="n">
        <f aca="false">IF(J31=B31,1,0)</f>
        <v>1</v>
      </c>
    </row>
    <row r="32" customFormat="false" ht="15" hidden="false" customHeight="false" outlineLevel="0" collapsed="false">
      <c r="A32" s="17" t="n">
        <v>13</v>
      </c>
      <c r="B32" s="17" t="str">
        <f aca="false">'Prediksi &amp; Evaluasi'!F17</f>
        <v>drugX</v>
      </c>
      <c r="C32" s="17" t="str">
        <f aca="false">'Prediksi &amp; Evaluasi'!L17</f>
        <v>DrugY</v>
      </c>
      <c r="D32" s="17" t="n">
        <f aca="false">'Prediksi &amp; Evaluasi'!M17</f>
        <v>0</v>
      </c>
      <c r="E32" s="24" t="n">
        <f aca="false">'Prediksi &amp; Evaluasi'!G17*$D$6</f>
        <v>0</v>
      </c>
      <c r="F32" s="24" t="n">
        <f aca="false">'Prediksi &amp; Evaluasi'!H17*$D$7</f>
        <v>0</v>
      </c>
      <c r="G32" s="24" t="n">
        <f aca="false">'Prediksi &amp; Evaluasi'!I17*$D$8</f>
        <v>0</v>
      </c>
      <c r="H32" s="24" t="n">
        <f aca="false">'Prediksi &amp; Evaluasi'!J17*$D$9</f>
        <v>0.00795998363168842</v>
      </c>
      <c r="I32" s="24" t="n">
        <f aca="false">'Prediksi &amp; Evaluasi'!K17*$D$10</f>
        <v>0.0050065917815121</v>
      </c>
      <c r="J32" s="17" t="str">
        <f aca="false">INDEX({"drugA","drugB","drugC","drugX","DrugY"},MATCH(MAX(E32:I32),E32:I32,0))</f>
        <v>drugX</v>
      </c>
      <c r="K32" s="17" t="n">
        <f aca="false">IF(J32=B32,1,0)</f>
        <v>1</v>
      </c>
    </row>
    <row r="33" customFormat="false" ht="15" hidden="false" customHeight="false" outlineLevel="0" collapsed="false">
      <c r="A33" s="17" t="n">
        <v>14</v>
      </c>
      <c r="B33" s="17" t="str">
        <f aca="false">'Prediksi &amp; Evaluasi'!F18</f>
        <v>drugX</v>
      </c>
      <c r="C33" s="17" t="str">
        <f aca="false">'Prediksi &amp; Evaluasi'!L18</f>
        <v>DrugY</v>
      </c>
      <c r="D33" s="17" t="n">
        <f aca="false">'Prediksi &amp; Evaluasi'!M18</f>
        <v>0</v>
      </c>
      <c r="E33" s="24" t="n">
        <f aca="false">'Prediksi &amp; Evaluasi'!G18*$D$6</f>
        <v>0</v>
      </c>
      <c r="F33" s="24" t="n">
        <f aca="false">'Prediksi &amp; Evaluasi'!H18*$D$7</f>
        <v>0</v>
      </c>
      <c r="G33" s="24" t="n">
        <f aca="false">'Prediksi &amp; Evaluasi'!I18*$D$8</f>
        <v>0</v>
      </c>
      <c r="H33" s="24" t="n">
        <f aca="false">'Prediksi &amp; Evaluasi'!J18*$D$9</f>
        <v>0.00127764090393094</v>
      </c>
      <c r="I33" s="24" t="n">
        <f aca="false">'Prediksi &amp; Evaluasi'!K18*$D$10</f>
        <v>0.00591349302233191</v>
      </c>
      <c r="J33" s="17" t="str">
        <f aca="false">INDEX({"drugA","drugB","drugC","drugX","DrugY"},MATCH(MAX(E33:I33),E33:I33,0))</f>
        <v>DrugY</v>
      </c>
      <c r="K33" s="17" t="n">
        <f aca="false">IF(J33=B33,1,0)</f>
        <v>0</v>
      </c>
    </row>
    <row r="34" customFormat="false" ht="15" hidden="false" customHeight="false" outlineLevel="0" collapsed="false">
      <c r="A34" s="17" t="n">
        <v>15</v>
      </c>
      <c r="B34" s="17" t="str">
        <f aca="false">'Prediksi &amp; Evaluasi'!F19</f>
        <v>drugX</v>
      </c>
      <c r="C34" s="17" t="str">
        <f aca="false">'Prediksi &amp; Evaluasi'!L19</f>
        <v>drugX</v>
      </c>
      <c r="D34" s="17" t="n">
        <f aca="false">'Prediksi &amp; Evaluasi'!M19</f>
        <v>1</v>
      </c>
      <c r="E34" s="24" t="n">
        <f aca="false">'Prediksi &amp; Evaluasi'!G19*$D$6</f>
        <v>0</v>
      </c>
      <c r="F34" s="24" t="n">
        <f aca="false">'Prediksi &amp; Evaluasi'!H19*$D$7</f>
        <v>0</v>
      </c>
      <c r="G34" s="24" t="n">
        <f aca="false">'Prediksi &amp; Evaluasi'!I19*$D$8</f>
        <v>0</v>
      </c>
      <c r="H34" s="24" t="n">
        <f aca="false">'Prediksi &amp; Evaluasi'!J19*$D$9</f>
        <v>0.00793962561728512</v>
      </c>
      <c r="I34" s="24" t="n">
        <f aca="false">'Prediksi &amp; Evaluasi'!K19*$D$10</f>
        <v>0</v>
      </c>
      <c r="J34" s="17" t="str">
        <f aca="false">INDEX({"drugA","drugB","drugC","drugX","DrugY"},MATCH(MAX(E34:I34),E34:I34,0))</f>
        <v>drugX</v>
      </c>
      <c r="K34" s="17" t="n">
        <f aca="false">IF(J34=B34,1,0)</f>
        <v>1</v>
      </c>
    </row>
    <row r="35" customFormat="false" ht="15" hidden="false" customHeight="false" outlineLevel="0" collapsed="false">
      <c r="A35" s="17" t="n">
        <v>16</v>
      </c>
      <c r="B35" s="17" t="str">
        <f aca="false">'Prediksi &amp; Evaluasi'!F20</f>
        <v>drugX</v>
      </c>
      <c r="C35" s="17" t="str">
        <f aca="false">'Prediksi &amp; Evaluasi'!L20</f>
        <v>DrugY</v>
      </c>
      <c r="D35" s="17" t="n">
        <f aca="false">'Prediksi &amp; Evaluasi'!M20</f>
        <v>0</v>
      </c>
      <c r="E35" s="24" t="n">
        <f aca="false">'Prediksi &amp; Evaluasi'!G20*$D$6</f>
        <v>0</v>
      </c>
      <c r="F35" s="24" t="n">
        <f aca="false">'Prediksi &amp; Evaluasi'!H20*$D$7</f>
        <v>0</v>
      </c>
      <c r="G35" s="24" t="n">
        <f aca="false">'Prediksi &amp; Evaluasi'!I20*$D$8</f>
        <v>0</v>
      </c>
      <c r="H35" s="24" t="n">
        <f aca="false">'Prediksi &amp; Evaluasi'!J20*$D$9</f>
        <v>0.00587714815808232</v>
      </c>
      <c r="I35" s="24" t="n">
        <f aca="false">'Prediksi &amp; Evaluasi'!K20*$D$10</f>
        <v>0.0043647210402926</v>
      </c>
      <c r="J35" s="17" t="str">
        <f aca="false">INDEX({"drugA","drugB","drugC","drugX","DrugY"},MATCH(MAX(E35:I35),E35:I35,0))</f>
        <v>drugX</v>
      </c>
      <c r="K35" s="17" t="n">
        <f aca="false">IF(J35=B35,1,0)</f>
        <v>1</v>
      </c>
    </row>
    <row r="36" customFormat="false" ht="15" hidden="false" customHeight="false" outlineLevel="0" collapsed="false">
      <c r="A36" s="17" t="n">
        <v>17</v>
      </c>
      <c r="B36" s="17" t="str">
        <f aca="false">'Prediksi &amp; Evaluasi'!F21</f>
        <v>drugX</v>
      </c>
      <c r="C36" s="17" t="str">
        <f aca="false">'Prediksi &amp; Evaluasi'!L21</f>
        <v>drugX</v>
      </c>
      <c r="D36" s="17" t="n">
        <f aca="false">'Prediksi &amp; Evaluasi'!M21</f>
        <v>1</v>
      </c>
      <c r="E36" s="24" t="n">
        <f aca="false">'Prediksi &amp; Evaluasi'!G21*$D$6</f>
        <v>0</v>
      </c>
      <c r="F36" s="24" t="n">
        <f aca="false">'Prediksi &amp; Evaluasi'!H21*$D$7</f>
        <v>0</v>
      </c>
      <c r="G36" s="24" t="n">
        <f aca="false">'Prediksi &amp; Evaluasi'!I21*$D$8</f>
        <v>0</v>
      </c>
      <c r="H36" s="24" t="n">
        <f aca="false">'Prediksi &amp; Evaluasi'!J21*$D$9</f>
        <v>0.0145559802983561</v>
      </c>
      <c r="I36" s="24" t="n">
        <f aca="false">'Prediksi &amp; Evaluasi'!K21*$D$10</f>
        <v>0</v>
      </c>
      <c r="J36" s="17" t="str">
        <f aca="false">INDEX({"drugA","drugB","drugC","drugX","DrugY"},MATCH(MAX(E36:I36),E36:I36,0))</f>
        <v>drugX</v>
      </c>
      <c r="K36" s="17" t="n">
        <f aca="false">IF(J36=B36,1,0)</f>
        <v>1</v>
      </c>
    </row>
    <row r="37" customFormat="false" ht="15" hidden="false" customHeight="false" outlineLevel="0" collapsed="false">
      <c r="A37" s="17" t="n">
        <v>18</v>
      </c>
      <c r="B37" s="17" t="str">
        <f aca="false">'Prediksi &amp; Evaluasi'!F22</f>
        <v>drugX</v>
      </c>
      <c r="C37" s="17" t="str">
        <f aca="false">'Prediksi &amp; Evaluasi'!L22</f>
        <v>drugX</v>
      </c>
      <c r="D37" s="17" t="n">
        <f aca="false">'Prediksi &amp; Evaluasi'!M22</f>
        <v>1</v>
      </c>
      <c r="E37" s="24" t="n">
        <f aca="false">'Prediksi &amp; Evaluasi'!G22*$D$6</f>
        <v>0</v>
      </c>
      <c r="F37" s="24" t="n">
        <f aca="false">'Prediksi &amp; Evaluasi'!H22*$D$7</f>
        <v>0</v>
      </c>
      <c r="G37" s="24" t="n">
        <f aca="false">'Prediksi &amp; Evaluasi'!I22*$D$8</f>
        <v>0</v>
      </c>
      <c r="H37" s="24" t="n">
        <f aca="false">'Prediksi &amp; Evaluasi'!J22*$D$9</f>
        <v>0.0107747716231509</v>
      </c>
      <c r="I37" s="24" t="n">
        <f aca="false">'Prediksi &amp; Evaluasi'!K22*$D$10</f>
        <v>0.00498825261747726</v>
      </c>
      <c r="J37" s="17" t="str">
        <f aca="false">INDEX({"drugA","drugB","drugC","drugX","DrugY"},MATCH(MAX(E37:I37),E37:I37,0))</f>
        <v>drugX</v>
      </c>
      <c r="K37" s="17" t="n">
        <f aca="false">IF(J37=B37,1,0)</f>
        <v>1</v>
      </c>
    </row>
    <row r="38" customFormat="false" ht="15" hidden="false" customHeight="false" outlineLevel="0" collapsed="false">
      <c r="A38" s="17" t="n">
        <v>19</v>
      </c>
      <c r="B38" s="17" t="str">
        <f aca="false">'Prediksi &amp; Evaluasi'!F23</f>
        <v>drugX</v>
      </c>
      <c r="C38" s="17" t="str">
        <f aca="false">'Prediksi &amp; Evaluasi'!L23</f>
        <v>drugX</v>
      </c>
      <c r="D38" s="17" t="n">
        <f aca="false">'Prediksi &amp; Evaluasi'!M23</f>
        <v>1</v>
      </c>
      <c r="E38" s="24" t="n">
        <f aca="false">'Prediksi &amp; Evaluasi'!G23*$D$6</f>
        <v>0</v>
      </c>
      <c r="F38" s="24" t="n">
        <f aca="false">'Prediksi &amp; Evaluasi'!H23*$D$7</f>
        <v>0</v>
      </c>
      <c r="G38" s="24" t="n">
        <f aca="false">'Prediksi &amp; Evaluasi'!I23*$D$8</f>
        <v>0</v>
      </c>
      <c r="H38" s="24" t="n">
        <f aca="false">'Prediksi &amp; Evaluasi'!J23*$D$9</f>
        <v>0.0145933033247621</v>
      </c>
      <c r="I38" s="24" t="n">
        <f aca="false">'Prediksi &amp; Evaluasi'!K23*$D$10</f>
        <v>0.00572181917887097</v>
      </c>
      <c r="J38" s="17" t="str">
        <f aca="false">INDEX({"drugA","drugB","drugC","drugX","DrugY"},MATCH(MAX(E38:I38),E38:I38,0))</f>
        <v>drugX</v>
      </c>
      <c r="K38" s="17" t="n">
        <f aca="false">IF(J38=B38,1,0)</f>
        <v>1</v>
      </c>
    </row>
    <row r="39" customFormat="false" ht="15" hidden="false" customHeight="false" outlineLevel="0" collapsed="false">
      <c r="A39" s="17" t="n">
        <v>20</v>
      </c>
      <c r="B39" s="17" t="str">
        <f aca="false">'Prediksi &amp; Evaluasi'!F24</f>
        <v>drugX</v>
      </c>
      <c r="C39" s="17" t="str">
        <f aca="false">'Prediksi &amp; Evaluasi'!L24</f>
        <v>drugX</v>
      </c>
      <c r="D39" s="17" t="n">
        <f aca="false">'Prediksi &amp; Evaluasi'!M24</f>
        <v>1</v>
      </c>
      <c r="E39" s="24" t="n">
        <f aca="false">'Prediksi &amp; Evaluasi'!G24*$D$6</f>
        <v>0</v>
      </c>
      <c r="F39" s="24" t="n">
        <f aca="false">'Prediksi &amp; Evaluasi'!H24*$D$7</f>
        <v>0</v>
      </c>
      <c r="G39" s="24" t="n">
        <f aca="false">'Prediksi &amp; Evaluasi'!I24*$D$8</f>
        <v>0</v>
      </c>
      <c r="H39" s="24" t="n">
        <f aca="false">'Prediksi &amp; Evaluasi'!J24*$D$9</f>
        <v>0.0145559802983561</v>
      </c>
      <c r="I39" s="24" t="n">
        <f aca="false">'Prediksi &amp; Evaluasi'!K24*$D$10</f>
        <v>0</v>
      </c>
      <c r="J39" s="17" t="str">
        <f aca="false">INDEX({"drugA","drugB","drugC","drugX","DrugY"},MATCH(MAX(E39:I39),E39:I39,0))</f>
        <v>drugX</v>
      </c>
      <c r="K39" s="17" t="n">
        <f aca="false">IF(J39=B39,1,0)</f>
        <v>1</v>
      </c>
    </row>
    <row r="40" customFormat="false" ht="15" hidden="false" customHeight="false" outlineLevel="0" collapsed="false">
      <c r="A40" s="17" t="n">
        <v>21</v>
      </c>
      <c r="B40" s="17" t="str">
        <f aca="false">'Prediksi &amp; Evaluasi'!F25</f>
        <v>drugX</v>
      </c>
      <c r="C40" s="17" t="str">
        <f aca="false">'Prediksi &amp; Evaluasi'!L25</f>
        <v>drugX</v>
      </c>
      <c r="D40" s="17" t="n">
        <f aca="false">'Prediksi &amp; Evaluasi'!M25</f>
        <v>1</v>
      </c>
      <c r="E40" s="24" t="n">
        <f aca="false">'Prediksi &amp; Evaluasi'!G25*$D$6</f>
        <v>0</v>
      </c>
      <c r="F40" s="24" t="n">
        <f aca="false">'Prediksi &amp; Evaluasi'!H25*$D$7</f>
        <v>0</v>
      </c>
      <c r="G40" s="24" t="n">
        <f aca="false">'Prediksi &amp; Evaluasi'!I25*$D$8</f>
        <v>0</v>
      </c>
      <c r="H40" s="24" t="n">
        <f aca="false">'Prediksi &amp; Evaluasi'!J25*$D$9</f>
        <v>0.0223191697908126</v>
      </c>
      <c r="I40" s="24" t="n">
        <f aca="false">'Prediksi &amp; Evaluasi'!K25*$D$10</f>
        <v>0.00498825261747726</v>
      </c>
      <c r="J40" s="17" t="str">
        <f aca="false">INDEX({"drugA","drugB","drugC","drugX","DrugY"},MATCH(MAX(E40:I40),E40:I40,0))</f>
        <v>drugX</v>
      </c>
      <c r="K40" s="17" t="n">
        <f aca="false">IF(J40=B40,1,0)</f>
        <v>1</v>
      </c>
    </row>
    <row r="41" customFormat="false" ht="15" hidden="false" customHeight="false" outlineLevel="0" collapsed="false">
      <c r="A41" s="17" t="n">
        <v>22</v>
      </c>
      <c r="B41" s="17" t="str">
        <f aca="false">'Prediksi &amp; Evaluasi'!F26</f>
        <v>drugX</v>
      </c>
      <c r="C41" s="17" t="str">
        <f aca="false">'Prediksi &amp; Evaluasi'!L26</f>
        <v>DrugY</v>
      </c>
      <c r="D41" s="17" t="n">
        <f aca="false">'Prediksi &amp; Evaluasi'!M26</f>
        <v>0</v>
      </c>
      <c r="E41" s="24" t="n">
        <f aca="false">'Prediksi &amp; Evaluasi'!G26*$D$6</f>
        <v>0</v>
      </c>
      <c r="F41" s="24" t="n">
        <f aca="false">'Prediksi &amp; Evaluasi'!H26*$D$7</f>
        <v>0</v>
      </c>
      <c r="G41" s="24" t="n">
        <f aca="false">'Prediksi &amp; Evaluasi'!I26*$D$8</f>
        <v>0</v>
      </c>
      <c r="H41" s="24" t="n">
        <f aca="false">'Prediksi &amp; Evaluasi'!J26*$D$9</f>
        <v>0.00234234165720672</v>
      </c>
      <c r="I41" s="24" t="n">
        <f aca="false">'Prediksi &amp; Evaluasi'!K26*$D$10</f>
        <v>0.0067582777398079</v>
      </c>
      <c r="J41" s="17" t="str">
        <f aca="false">INDEX({"drugA","drugB","drugC","drugX","DrugY"},MATCH(MAX(E41:I41),E41:I41,0))</f>
        <v>DrugY</v>
      </c>
      <c r="K41" s="17" t="n">
        <f aca="false">IF(J41=B41,1,0)</f>
        <v>0</v>
      </c>
    </row>
    <row r="42" customFormat="false" ht="15" hidden="false" customHeight="false" outlineLevel="0" collapsed="false">
      <c r="A42" s="17" t="n">
        <v>23</v>
      </c>
      <c r="B42" s="17" t="str">
        <f aca="false">'Prediksi &amp; Evaluasi'!F27</f>
        <v>DrugY</v>
      </c>
      <c r="C42" s="17" t="str">
        <f aca="false">'Prediksi &amp; Evaluasi'!L27</f>
        <v>DrugY</v>
      </c>
      <c r="D42" s="17" t="n">
        <f aca="false">'Prediksi &amp; Evaluasi'!M27</f>
        <v>1</v>
      </c>
      <c r="E42" s="24" t="n">
        <f aca="false">'Prediksi &amp; Evaluasi'!G27*$D$6</f>
        <v>0.0113168724279835</v>
      </c>
      <c r="F42" s="24" t="n">
        <f aca="false">'Prediksi &amp; Evaluasi'!H27*$D$7</f>
        <v>0</v>
      </c>
      <c r="G42" s="24" t="n">
        <f aca="false">'Prediksi &amp; Evaluasi'!I27*$D$8</f>
        <v>0</v>
      </c>
      <c r="H42" s="24" t="n">
        <f aca="false">'Prediksi &amp; Evaluasi'!J27*$D$9</f>
        <v>0</v>
      </c>
      <c r="I42" s="24" t="n">
        <f aca="false">'Prediksi &amp; Evaluasi'!K27*$D$10</f>
        <v>0.00299146697149306</v>
      </c>
      <c r="J42" s="17" t="str">
        <f aca="false">INDEX({"drugA","drugB","drugC","drugX","DrugY"},MATCH(MAX(E42:I42),E42:I42,0))</f>
        <v>drugA</v>
      </c>
      <c r="K42" s="17" t="n">
        <f aca="false">IF(J42=B42,1,0)</f>
        <v>0</v>
      </c>
    </row>
    <row r="43" customFormat="false" ht="15" hidden="false" customHeight="false" outlineLevel="0" collapsed="false">
      <c r="A43" s="17" t="n">
        <v>24</v>
      </c>
      <c r="B43" s="17" t="str">
        <f aca="false">'Prediksi &amp; Evaluasi'!F28</f>
        <v>DrugY</v>
      </c>
      <c r="C43" s="17" t="str">
        <f aca="false">'Prediksi &amp; Evaluasi'!L28</f>
        <v>DrugY</v>
      </c>
      <c r="D43" s="17" t="n">
        <f aca="false">'Prediksi &amp; Evaluasi'!M28</f>
        <v>1</v>
      </c>
      <c r="E43" s="24" t="n">
        <f aca="false">'Prediksi &amp; Evaluasi'!G28*$D$6</f>
        <v>0.0113168724279835</v>
      </c>
      <c r="F43" s="24" t="n">
        <f aca="false">'Prediksi &amp; Evaluasi'!H28*$D$7</f>
        <v>0</v>
      </c>
      <c r="G43" s="24" t="n">
        <f aca="false">'Prediksi &amp; Evaluasi'!I28*$D$8</f>
        <v>0</v>
      </c>
      <c r="H43" s="24" t="n">
        <f aca="false">'Prediksi &amp; Evaluasi'!J28*$D$9</f>
        <v>0</v>
      </c>
      <c r="I43" s="24" t="n">
        <f aca="false">'Prediksi &amp; Evaluasi'!K28*$D$10</f>
        <v>0.00299146697149306</v>
      </c>
      <c r="J43" s="17" t="str">
        <f aca="false">INDEX({"drugA","drugB","drugC","drugX","DrugY"},MATCH(MAX(E43:I43),E43:I43,0))</f>
        <v>drugA</v>
      </c>
      <c r="K43" s="17" t="n">
        <f aca="false">IF(J43=B43,1,0)</f>
        <v>0</v>
      </c>
    </row>
    <row r="44" customFormat="false" ht="15" hidden="false" customHeight="false" outlineLevel="0" collapsed="false">
      <c r="A44" s="17" t="n">
        <v>25</v>
      </c>
      <c r="B44" s="17" t="str">
        <f aca="false">'Prediksi &amp; Evaluasi'!F29</f>
        <v>DrugY</v>
      </c>
      <c r="C44" s="17" t="str">
        <f aca="false">'Prediksi &amp; Evaluasi'!L29</f>
        <v>DrugY</v>
      </c>
      <c r="D44" s="17" t="n">
        <f aca="false">'Prediksi &amp; Evaluasi'!M29</f>
        <v>1</v>
      </c>
      <c r="E44" s="24" t="n">
        <f aca="false">'Prediksi &amp; Evaluasi'!G29*$D$6</f>
        <v>0.0113168724279835</v>
      </c>
      <c r="F44" s="24" t="n">
        <f aca="false">'Prediksi &amp; Evaluasi'!H29*$D$7</f>
        <v>0</v>
      </c>
      <c r="G44" s="24" t="n">
        <f aca="false">'Prediksi &amp; Evaluasi'!I29*$D$8</f>
        <v>0</v>
      </c>
      <c r="H44" s="24" t="n">
        <f aca="false">'Prediksi &amp; Evaluasi'!J29*$D$9</f>
        <v>0</v>
      </c>
      <c r="I44" s="24" t="n">
        <f aca="false">'Prediksi &amp; Evaluasi'!K29*$D$10</f>
        <v>0.00299146697149306</v>
      </c>
      <c r="J44" s="17" t="str">
        <f aca="false">INDEX({"drugA","drugB","drugC","drugX","DrugY"},MATCH(MAX(E44:I44),E44:I44,0))</f>
        <v>drugA</v>
      </c>
      <c r="K44" s="17" t="n">
        <f aca="false">IF(J44=B44,1,0)</f>
        <v>0</v>
      </c>
    </row>
    <row r="45" customFormat="false" ht="15" hidden="false" customHeight="false" outlineLevel="0" collapsed="false">
      <c r="A45" s="17" t="n">
        <v>26</v>
      </c>
      <c r="B45" s="17" t="str">
        <f aca="false">'Prediksi &amp; Evaluasi'!F30</f>
        <v>DrugY</v>
      </c>
      <c r="C45" s="17" t="str">
        <f aca="false">'Prediksi &amp; Evaluasi'!L30</f>
        <v>DrugY</v>
      </c>
      <c r="D45" s="17" t="n">
        <f aca="false">'Prediksi &amp; Evaluasi'!M30</f>
        <v>1</v>
      </c>
      <c r="E45" s="24" t="n">
        <f aca="false">'Prediksi &amp; Evaluasi'!G30*$D$6</f>
        <v>0</v>
      </c>
      <c r="F45" s="24" t="n">
        <f aca="false">'Prediksi &amp; Evaluasi'!H30*$D$7</f>
        <v>0</v>
      </c>
      <c r="G45" s="24" t="n">
        <f aca="false">'Prediksi &amp; Evaluasi'!I30*$D$8</f>
        <v>0</v>
      </c>
      <c r="H45" s="24" t="n">
        <f aca="false">'Prediksi &amp; Evaluasi'!J30*$D$9</f>
        <v>0.00795998363168842</v>
      </c>
      <c r="I45" s="24" t="n">
        <f aca="false">'Prediksi &amp; Evaluasi'!K30*$D$10</f>
        <v>0.0050065917815121</v>
      </c>
      <c r="J45" s="17" t="str">
        <f aca="false">INDEX({"drugA","drugB","drugC","drugX","DrugY"},MATCH(MAX(E45:I45),E45:I45,0))</f>
        <v>drugX</v>
      </c>
      <c r="K45" s="17" t="n">
        <f aca="false">IF(J45=B45,1,0)</f>
        <v>0</v>
      </c>
    </row>
    <row r="46" customFormat="false" ht="15" hidden="false" customHeight="false" outlineLevel="0" collapsed="false">
      <c r="A46" s="17" t="n">
        <v>27</v>
      </c>
      <c r="B46" s="17" t="str">
        <f aca="false">'Prediksi &amp; Evaluasi'!F31</f>
        <v>DrugY</v>
      </c>
      <c r="C46" s="17" t="str">
        <f aca="false">'Prediksi &amp; Evaluasi'!L31</f>
        <v>drugC</v>
      </c>
      <c r="D46" s="17" t="n">
        <f aca="false">'Prediksi &amp; Evaluasi'!M31</f>
        <v>0</v>
      </c>
      <c r="E46" s="24" t="n">
        <f aca="false">'Prediksi &amp; Evaluasi'!G31*$D$6</f>
        <v>0</v>
      </c>
      <c r="F46" s="24" t="n">
        <f aca="false">'Prediksi &amp; Evaluasi'!H31*$D$7</f>
        <v>0</v>
      </c>
      <c r="G46" s="24" t="n">
        <f aca="false">'Prediksi &amp; Evaluasi'!I31*$D$8</f>
        <v>0.0319526627218935</v>
      </c>
      <c r="H46" s="24" t="n">
        <f aca="false">'Prediksi &amp; Evaluasi'!J31*$D$9</f>
        <v>0.00384275071874613</v>
      </c>
      <c r="I46" s="24" t="n">
        <f aca="false">'Prediksi &amp; Evaluasi'!K31*$D$10</f>
        <v>0.0050065917815121</v>
      </c>
      <c r="J46" s="17" t="str">
        <f aca="false">INDEX({"drugA","drugB","drugC","drugX","DrugY"},MATCH(MAX(E46:I46),E46:I46,0))</f>
        <v>drugC</v>
      </c>
      <c r="K46" s="17" t="n">
        <f aca="false">IF(J46=B46,1,0)</f>
        <v>0</v>
      </c>
    </row>
    <row r="47" customFormat="false" ht="15" hidden="false" customHeight="false" outlineLevel="0" collapsed="false">
      <c r="A47" s="17" t="n">
        <v>28</v>
      </c>
      <c r="B47" s="17" t="str">
        <f aca="false">'Prediksi &amp; Evaluasi'!F32</f>
        <v>DrugY</v>
      </c>
      <c r="C47" s="17" t="str">
        <f aca="false">'Prediksi &amp; Evaluasi'!L32</f>
        <v>DrugY</v>
      </c>
      <c r="D47" s="17" t="n">
        <f aca="false">'Prediksi &amp; Evaluasi'!M32</f>
        <v>1</v>
      </c>
      <c r="E47" s="24" t="n">
        <f aca="false">'Prediksi &amp; Evaluasi'!G32*$D$6</f>
        <v>0.00548696844993141</v>
      </c>
      <c r="F47" s="24" t="n">
        <f aca="false">'Prediksi &amp; Evaluasi'!H32*$D$7</f>
        <v>0</v>
      </c>
      <c r="G47" s="24" t="n">
        <f aca="false">'Prediksi &amp; Evaluasi'!I32*$D$8</f>
        <v>0</v>
      </c>
      <c r="H47" s="24" t="n">
        <f aca="false">'Prediksi &amp; Evaluasi'!J32*$D$9</f>
        <v>0</v>
      </c>
      <c r="I47" s="24" t="n">
        <f aca="false">'Prediksi &amp; Evaluasi'!K32*$D$10</f>
        <v>0.0100131835630242</v>
      </c>
      <c r="J47" s="17" t="str">
        <f aca="false">INDEX({"drugA","drugB","drugC","drugX","DrugY"},MATCH(MAX(E47:I47),E47:I47,0))</f>
        <v>DrugY</v>
      </c>
      <c r="K47" s="17" t="n">
        <f aca="false">IF(J47=B47,1,0)</f>
        <v>1</v>
      </c>
    </row>
    <row r="48" customFormat="false" ht="15" hidden="false" customHeight="false" outlineLevel="0" collapsed="false">
      <c r="A48" s="17" t="n">
        <v>29</v>
      </c>
      <c r="B48" s="17" t="str">
        <f aca="false">'Prediksi &amp; Evaluasi'!F33</f>
        <v>DrugY</v>
      </c>
      <c r="C48" s="17" t="str">
        <f aca="false">'Prediksi &amp; Evaluasi'!L33</f>
        <v>drugA</v>
      </c>
      <c r="D48" s="17" t="n">
        <f aca="false">'Prediksi &amp; Evaluasi'!M33</f>
        <v>0</v>
      </c>
      <c r="E48" s="24" t="n">
        <f aca="false">'Prediksi &amp; Evaluasi'!G33*$D$6</f>
        <v>0.0377229080932785</v>
      </c>
      <c r="F48" s="24" t="n">
        <f aca="false">'Prediksi &amp; Evaluasi'!H33*$D$7</f>
        <v>0</v>
      </c>
      <c r="G48" s="24" t="n">
        <f aca="false">'Prediksi &amp; Evaluasi'!I33*$D$8</f>
        <v>0</v>
      </c>
      <c r="H48" s="24" t="n">
        <f aca="false">'Prediksi &amp; Evaluasi'!J33*$D$9</f>
        <v>0</v>
      </c>
      <c r="I48" s="24" t="n">
        <f aca="false">'Prediksi &amp; Evaluasi'!K33*$D$10</f>
        <v>0.00644315963090812</v>
      </c>
      <c r="J48" s="17" t="str">
        <f aca="false">INDEX({"drugA","drugB","drugC","drugX","DrugY"},MATCH(MAX(E48:I48),E48:I48,0))</f>
        <v>drugA</v>
      </c>
      <c r="K48" s="17" t="n">
        <f aca="false">IF(J48=B48,1,0)</f>
        <v>0</v>
      </c>
    </row>
    <row r="49" customFormat="false" ht="15" hidden="false" customHeight="false" outlineLevel="0" collapsed="false">
      <c r="A49" s="17" t="n">
        <v>30</v>
      </c>
      <c r="B49" s="17" t="str">
        <f aca="false">'Prediksi &amp; Evaluasi'!F34</f>
        <v>DrugY</v>
      </c>
      <c r="C49" s="17" t="str">
        <f aca="false">'Prediksi &amp; Evaluasi'!L34</f>
        <v>DrugY</v>
      </c>
      <c r="D49" s="17" t="n">
        <f aca="false">'Prediksi &amp; Evaluasi'!M34</f>
        <v>1</v>
      </c>
      <c r="E49" s="24" t="n">
        <f aca="false">'Prediksi &amp; Evaluasi'!G34*$D$6</f>
        <v>0</v>
      </c>
      <c r="F49" s="24" t="n">
        <f aca="false">'Prediksi &amp; Evaluasi'!H34*$D$7</f>
        <v>0</v>
      </c>
      <c r="G49" s="24" t="n">
        <f aca="false">'Prediksi &amp; Evaluasi'!I34*$D$8</f>
        <v>0</v>
      </c>
      <c r="H49" s="24" t="n">
        <f aca="false">'Prediksi &amp; Evaluasi'!J34*$D$9</f>
        <v>0.00795998363168842</v>
      </c>
      <c r="I49" s="24" t="n">
        <f aca="false">'Prediksi &amp; Evaluasi'!K34*$D$10</f>
        <v>0.0050065917815121</v>
      </c>
      <c r="J49" s="17" t="str">
        <f aca="false">INDEX({"drugA","drugB","drugC","drugX","DrugY"},MATCH(MAX(E49:I49),E49:I49,0))</f>
        <v>drugX</v>
      </c>
      <c r="K49" s="17" t="n">
        <f aca="false">IF(J49=B49,1,0)</f>
        <v>0</v>
      </c>
    </row>
    <row r="50" customFormat="false" ht="15" hidden="false" customHeight="false" outlineLevel="0" collapsed="false">
      <c r="A50" s="17" t="n">
        <v>31</v>
      </c>
      <c r="B50" s="17" t="str">
        <f aca="false">'Prediksi &amp; Evaluasi'!F35</f>
        <v>DrugY</v>
      </c>
      <c r="C50" s="17" t="str">
        <f aca="false">'Prediksi &amp; Evaluasi'!L35</f>
        <v>DrugY</v>
      </c>
      <c r="D50" s="17" t="n">
        <f aca="false">'Prediksi &amp; Evaluasi'!M35</f>
        <v>1</v>
      </c>
      <c r="E50" s="24" t="n">
        <f aca="false">'Prediksi &amp; Evaluasi'!G35*$D$6</f>
        <v>0</v>
      </c>
      <c r="F50" s="24" t="n">
        <f aca="false">'Prediksi &amp; Evaluasi'!H35*$D$7</f>
        <v>0</v>
      </c>
      <c r="G50" s="24" t="n">
        <f aca="false">'Prediksi &amp; Evaluasi'!I35*$D$8</f>
        <v>0</v>
      </c>
      <c r="H50" s="24" t="n">
        <f aca="false">'Prediksi &amp; Evaluasi'!J35*$D$9</f>
        <v>0.00234234165720672</v>
      </c>
      <c r="I50" s="24" t="n">
        <f aca="false">'Prediksi &amp; Evaluasi'!K35*$D$10</f>
        <v>0.0067582777398079</v>
      </c>
      <c r="J50" s="17" t="str">
        <f aca="false">INDEX({"drugA","drugB","drugC","drugX","DrugY"},MATCH(MAX(E50:I50),E50:I50,0))</f>
        <v>DrugY</v>
      </c>
      <c r="K50" s="17" t="n">
        <f aca="false">IF(J50=B50,1,0)</f>
        <v>1</v>
      </c>
    </row>
    <row r="51" customFormat="false" ht="15" hidden="false" customHeight="false" outlineLevel="0" collapsed="false">
      <c r="A51" s="17" t="n">
        <v>32</v>
      </c>
      <c r="B51" s="17" t="str">
        <f aca="false">'Prediksi &amp; Evaluasi'!F36</f>
        <v>DrugY</v>
      </c>
      <c r="C51" s="17" t="str">
        <f aca="false">'Prediksi &amp; Evaluasi'!L36</f>
        <v>DrugY</v>
      </c>
      <c r="D51" s="17" t="n">
        <f aca="false">'Prediksi &amp; Evaluasi'!M36</f>
        <v>1</v>
      </c>
      <c r="E51" s="24" t="n">
        <f aca="false">'Prediksi &amp; Evaluasi'!G36*$D$6</f>
        <v>0</v>
      </c>
      <c r="F51" s="24" t="n">
        <f aca="false">'Prediksi &amp; Evaluasi'!H36*$D$7</f>
        <v>0</v>
      </c>
      <c r="G51" s="24" t="n">
        <f aca="false">'Prediksi &amp; Evaluasi'!I36*$D$8</f>
        <v>0</v>
      </c>
      <c r="H51" s="24" t="n">
        <f aca="false">'Prediksi &amp; Evaluasi'!J36*$D$9</f>
        <v>0.00234234165720672</v>
      </c>
      <c r="I51" s="24" t="n">
        <f aca="false">'Prediksi &amp; Evaluasi'!K36*$D$10</f>
        <v>0.0067582777398079</v>
      </c>
      <c r="J51" s="17" t="str">
        <f aca="false">INDEX({"drugA","drugB","drugC","drugX","DrugY"},MATCH(MAX(E51:I51),E51:I51,0))</f>
        <v>DrugY</v>
      </c>
      <c r="K51" s="17" t="n">
        <f aca="false">IF(J51=B51,1,0)</f>
        <v>1</v>
      </c>
    </row>
    <row r="52" customFormat="false" ht="15" hidden="false" customHeight="false" outlineLevel="0" collapsed="false">
      <c r="A52" s="17" t="n">
        <v>33</v>
      </c>
      <c r="B52" s="17" t="str">
        <f aca="false">'Prediksi &amp; Evaluasi'!F37</f>
        <v>DrugY</v>
      </c>
      <c r="C52" s="17" t="str">
        <f aca="false">'Prediksi &amp; Evaluasi'!L37</f>
        <v>DrugY</v>
      </c>
      <c r="D52" s="17" t="n">
        <f aca="false">'Prediksi &amp; Evaluasi'!M37</f>
        <v>1</v>
      </c>
      <c r="E52" s="24" t="n">
        <f aca="false">'Prediksi &amp; Evaluasi'!G37*$D$6</f>
        <v>0</v>
      </c>
      <c r="F52" s="24" t="n">
        <f aca="false">'Prediksi &amp; Evaluasi'!H37*$D$7</f>
        <v>0</v>
      </c>
      <c r="G52" s="24" t="n">
        <f aca="false">'Prediksi &amp; Evaluasi'!I37*$D$8</f>
        <v>0</v>
      </c>
      <c r="H52" s="24" t="n">
        <f aca="false">'Prediksi &amp; Evaluasi'!J37*$D$9</f>
        <v>0.00234234165720672</v>
      </c>
      <c r="I52" s="24" t="n">
        <f aca="false">'Prediksi &amp; Evaluasi'!K37*$D$10</f>
        <v>0.0067582777398079</v>
      </c>
      <c r="J52" s="17" t="str">
        <f aca="false">INDEX({"drugA","drugB","drugC","drugX","DrugY"},MATCH(MAX(E52:I52),E52:I52,0))</f>
        <v>DrugY</v>
      </c>
      <c r="K52" s="17" t="n">
        <f aca="false">IF(J52=B52,1,0)</f>
        <v>1</v>
      </c>
    </row>
    <row r="53" customFormat="false" ht="15" hidden="false" customHeight="false" outlineLevel="0" collapsed="false">
      <c r="A53" s="17" t="n">
        <v>34</v>
      </c>
      <c r="B53" s="17" t="str">
        <f aca="false">'Prediksi &amp; Evaluasi'!F38</f>
        <v>DrugY</v>
      </c>
      <c r="C53" s="17" t="str">
        <f aca="false">'Prediksi &amp; Evaluasi'!L38</f>
        <v>DrugY</v>
      </c>
      <c r="D53" s="17" t="n">
        <f aca="false">'Prediksi &amp; Evaluasi'!M38</f>
        <v>1</v>
      </c>
      <c r="E53" s="24" t="n">
        <f aca="false">'Prediksi &amp; Evaluasi'!G38*$D$6</f>
        <v>0</v>
      </c>
      <c r="F53" s="24" t="n">
        <f aca="false">'Prediksi &amp; Evaluasi'!H38*$D$7</f>
        <v>0</v>
      </c>
      <c r="G53" s="24" t="n">
        <f aca="false">'Prediksi &amp; Evaluasi'!I38*$D$8</f>
        <v>0.0106508875739645</v>
      </c>
      <c r="H53" s="24" t="n">
        <f aca="false">'Prediksi &amp; Evaluasi'!J38*$D$9</f>
        <v>0.00153153108355824</v>
      </c>
      <c r="I53" s="24" t="n">
        <f aca="false">'Prediksi &amp; Evaluasi'!K38*$D$10</f>
        <v>0.00775214211330906</v>
      </c>
      <c r="J53" s="17" t="str">
        <f aca="false">INDEX({"drugA","drugB","drugC","drugX","DrugY"},MATCH(MAX(E53:I53),E53:I53,0))</f>
        <v>drugC</v>
      </c>
      <c r="K53" s="17" t="n">
        <f aca="false">IF(J53=B53,1,0)</f>
        <v>0</v>
      </c>
    </row>
    <row r="54" customFormat="false" ht="15" hidden="false" customHeight="false" outlineLevel="0" collapsed="false">
      <c r="A54" s="17" t="n">
        <v>35</v>
      </c>
      <c r="B54" s="17" t="str">
        <f aca="false">'Prediksi &amp; Evaluasi'!F39</f>
        <v>DrugY</v>
      </c>
      <c r="C54" s="17" t="str">
        <f aca="false">'Prediksi &amp; Evaluasi'!L39</f>
        <v>DrugY</v>
      </c>
      <c r="D54" s="17" t="n">
        <f aca="false">'Prediksi &amp; Evaluasi'!M39</f>
        <v>1</v>
      </c>
      <c r="E54" s="24" t="n">
        <f aca="false">'Prediksi &amp; Evaluasi'!G39*$D$6</f>
        <v>0.00274348422496571</v>
      </c>
      <c r="F54" s="24" t="n">
        <f aca="false">'Prediksi &amp; Evaluasi'!H39*$D$7</f>
        <v>0.00710059171597633</v>
      </c>
      <c r="G54" s="24" t="n">
        <f aca="false">'Prediksi &amp; Evaluasi'!I39*$D$8</f>
        <v>0</v>
      </c>
      <c r="H54" s="24" t="n">
        <f aca="false">'Prediksi &amp; Evaluasi'!J39*$D$9</f>
        <v>0</v>
      </c>
      <c r="I54" s="24" t="n">
        <f aca="false">'Prediksi &amp; Evaluasi'!K39*$D$10</f>
        <v>0.0114436383577419</v>
      </c>
      <c r="J54" s="17" t="str">
        <f aca="false">INDEX({"drugA","drugB","drugC","drugX","DrugY"},MATCH(MAX(E54:I54),E54:I54,0))</f>
        <v>DrugY</v>
      </c>
      <c r="K54" s="17" t="n">
        <f aca="false">IF(J54=B54,1,0)</f>
        <v>1</v>
      </c>
    </row>
    <row r="55" customFormat="false" ht="15" hidden="false" customHeight="false" outlineLevel="0" collapsed="false">
      <c r="A55" s="17" t="n">
        <v>36</v>
      </c>
      <c r="B55" s="17" t="str">
        <f aca="false">'Prediksi &amp; Evaluasi'!F40</f>
        <v>DrugY</v>
      </c>
      <c r="C55" s="17" t="str">
        <f aca="false">'Prediksi &amp; Evaluasi'!L40</f>
        <v>drugC</v>
      </c>
      <c r="D55" s="17" t="n">
        <f aca="false">'Prediksi &amp; Evaluasi'!M40</f>
        <v>0</v>
      </c>
      <c r="E55" s="24" t="n">
        <f aca="false">'Prediksi &amp; Evaluasi'!G40*$D$6</f>
        <v>0</v>
      </c>
      <c r="F55" s="24" t="n">
        <f aca="false">'Prediksi &amp; Evaluasi'!H40*$D$7</f>
        <v>0</v>
      </c>
      <c r="G55" s="24" t="n">
        <f aca="false">'Prediksi &amp; Evaluasi'!I40*$D$8</f>
        <v>0.0958579881656805</v>
      </c>
      <c r="H55" s="24" t="n">
        <f aca="false">'Prediksi &amp; Evaluasi'!J40*$D$9</f>
        <v>0.00704504298436791</v>
      </c>
      <c r="I55" s="24" t="n">
        <f aca="false">'Prediksi &amp; Evaluasi'!K40*$D$10</f>
        <v>0.00572181917887097</v>
      </c>
      <c r="J55" s="17" t="str">
        <f aca="false">INDEX({"drugA","drugB","drugC","drugX","DrugY"},MATCH(MAX(E55:I55),E55:I55,0))</f>
        <v>drugC</v>
      </c>
      <c r="K55" s="17" t="n">
        <f aca="false">IF(J55=B55,1,0)</f>
        <v>0</v>
      </c>
    </row>
    <row r="56" customFormat="false" ht="15" hidden="false" customHeight="false" outlineLevel="0" collapsed="false">
      <c r="A56" s="17" t="n">
        <v>37</v>
      </c>
      <c r="B56" s="17" t="str">
        <f aca="false">'Prediksi &amp; Evaluasi'!F41</f>
        <v>DrugY</v>
      </c>
      <c r="C56" s="17" t="str">
        <f aca="false">'Prediksi &amp; Evaluasi'!L41</f>
        <v>DrugY</v>
      </c>
      <c r="D56" s="17" t="n">
        <f aca="false">'Prediksi &amp; Evaluasi'!M41</f>
        <v>1</v>
      </c>
      <c r="E56" s="24" t="n">
        <f aca="false">'Prediksi &amp; Evaluasi'!G41*$D$6</f>
        <v>0</v>
      </c>
      <c r="F56" s="24" t="n">
        <f aca="false">'Prediksi &amp; Evaluasi'!H41*$D$7</f>
        <v>0</v>
      </c>
      <c r="G56" s="24" t="n">
        <f aca="false">'Prediksi &amp; Evaluasi'!I41*$D$8</f>
        <v>0</v>
      </c>
      <c r="H56" s="24" t="n">
        <f aca="false">'Prediksi &amp; Evaluasi'!J41*$D$9</f>
        <v>0.00234234165720672</v>
      </c>
      <c r="I56" s="24" t="n">
        <f aca="false">'Prediksi &amp; Evaluasi'!K41*$D$10</f>
        <v>0.0067582777398079</v>
      </c>
      <c r="J56" s="17" t="str">
        <f aca="false">INDEX({"drugA","drugB","drugC","drugX","DrugY"},MATCH(MAX(E56:I56),E56:I56,0))</f>
        <v>DrugY</v>
      </c>
      <c r="K56" s="17" t="n">
        <f aca="false">IF(J56=B56,1,0)</f>
        <v>1</v>
      </c>
    </row>
    <row r="57" customFormat="false" ht="15" hidden="false" customHeight="false" outlineLevel="0" collapsed="false">
      <c r="A57" s="17" t="n">
        <v>38</v>
      </c>
      <c r="B57" s="17" t="str">
        <f aca="false">'Prediksi &amp; Evaluasi'!F42</f>
        <v>DrugY</v>
      </c>
      <c r="C57" s="17" t="str">
        <f aca="false">'Prediksi &amp; Evaluasi'!L42</f>
        <v>DrugY</v>
      </c>
      <c r="D57" s="17" t="n">
        <f aca="false">'Prediksi &amp; Evaluasi'!M42</f>
        <v>1</v>
      </c>
      <c r="E57" s="24" t="n">
        <f aca="false">'Prediksi &amp; Evaluasi'!G42*$D$6</f>
        <v>0.00342935528120713</v>
      </c>
      <c r="F57" s="24" t="n">
        <f aca="false">'Prediksi &amp; Evaluasi'!H42*$D$7</f>
        <v>0.00828402366863905</v>
      </c>
      <c r="G57" s="24" t="n">
        <f aca="false">'Prediksi &amp; Evaluasi'!I42*$D$8</f>
        <v>0</v>
      </c>
      <c r="H57" s="24" t="n">
        <f aca="false">'Prediksi &amp; Evaluasi'!J42*$D$9</f>
        <v>0</v>
      </c>
      <c r="I57" s="24" t="n">
        <f aca="false">'Prediksi &amp; Evaluasi'!K42*$D$10</f>
        <v>0.00997650523495451</v>
      </c>
      <c r="J57" s="17" t="str">
        <f aca="false">INDEX({"drugA","drugB","drugC","drugX","DrugY"},MATCH(MAX(E57:I57),E57:I57,0))</f>
        <v>DrugY</v>
      </c>
      <c r="K57" s="17" t="n">
        <f aca="false">IF(J57=B57,1,0)</f>
        <v>1</v>
      </c>
    </row>
    <row r="58" customFormat="false" ht="15" hidden="false" customHeight="false" outlineLevel="0" collapsed="false">
      <c r="A58" s="17" t="n">
        <v>39</v>
      </c>
      <c r="B58" s="17" t="str">
        <f aca="false">'Prediksi &amp; Evaluasi'!F43</f>
        <v>DrugY</v>
      </c>
      <c r="C58" s="17" t="str">
        <f aca="false">'Prediksi &amp; Evaluasi'!L43</f>
        <v>DrugY</v>
      </c>
      <c r="D58" s="17" t="n">
        <f aca="false">'Prediksi &amp; Evaluasi'!M43</f>
        <v>1</v>
      </c>
      <c r="E58" s="24" t="n">
        <f aca="false">'Prediksi &amp; Evaluasi'!G43*$D$6</f>
        <v>0</v>
      </c>
      <c r="F58" s="24" t="n">
        <f aca="false">'Prediksi &amp; Evaluasi'!H43*$D$7</f>
        <v>0</v>
      </c>
      <c r="G58" s="24" t="n">
        <f aca="false">'Prediksi &amp; Evaluasi'!I43*$D$8</f>
        <v>0</v>
      </c>
      <c r="H58" s="24" t="n">
        <f aca="false">'Prediksi &amp; Evaluasi'!J43*$D$9</f>
        <v>0.00234234165720672</v>
      </c>
      <c r="I58" s="24" t="n">
        <f aca="false">'Prediksi &amp; Evaluasi'!K43*$D$10</f>
        <v>0.0067582777398079</v>
      </c>
      <c r="J58" s="17" t="str">
        <f aca="false">INDEX({"drugA","drugB","drugC","drugX","DrugY"},MATCH(MAX(E58:I58),E58:I58,0))</f>
        <v>DrugY</v>
      </c>
      <c r="K58" s="17" t="n">
        <f aca="false">IF(J58=B58,1,0)</f>
        <v>1</v>
      </c>
    </row>
    <row r="59" customFormat="false" ht="15" hidden="false" customHeight="false" outlineLevel="0" collapsed="false">
      <c r="A59" s="17" t="n">
        <v>40</v>
      </c>
      <c r="B59" s="17" t="str">
        <f aca="false">'Prediksi &amp; Evaluasi'!F44</f>
        <v>DrugY</v>
      </c>
      <c r="C59" s="17" t="str">
        <f aca="false">'Prediksi &amp; Evaluasi'!L44</f>
        <v>drugC</v>
      </c>
      <c r="D59" s="17" t="n">
        <f aca="false">'Prediksi &amp; Evaluasi'!M44</f>
        <v>0</v>
      </c>
      <c r="E59" s="24" t="n">
        <f aca="false">'Prediksi &amp; Evaluasi'!G44*$D$6</f>
        <v>0</v>
      </c>
      <c r="F59" s="24" t="n">
        <f aca="false">'Prediksi &amp; Evaluasi'!H44*$D$7</f>
        <v>0</v>
      </c>
      <c r="G59" s="24" t="n">
        <f aca="false">'Prediksi &amp; Evaluasi'!I44*$D$8</f>
        <v>0.0958579881656805</v>
      </c>
      <c r="H59" s="24" t="n">
        <f aca="false">'Prediksi &amp; Evaluasi'!J44*$D$9</f>
        <v>0.00704504298436791</v>
      </c>
      <c r="I59" s="24" t="n">
        <f aca="false">'Prediksi &amp; Evaluasi'!K44*$D$10</f>
        <v>0.00572181917887097</v>
      </c>
      <c r="J59" s="17" t="str">
        <f aca="false">INDEX({"drugA","drugB","drugC","drugX","DrugY"},MATCH(MAX(E59:I59),E59:I59,0))</f>
        <v>drugC</v>
      </c>
      <c r="K59" s="17" t="n">
        <f aca="false">IF(J59=B59,1,0)</f>
        <v>0</v>
      </c>
    </row>
    <row r="61" customFormat="false" ht="15" hidden="false" customHeight="false" outlineLevel="0" collapsed="false">
      <c r="A61" s="15" t="s">
        <v>77</v>
      </c>
    </row>
    <row r="62" customFormat="false" ht="15" hidden="false" customHeight="false" outlineLevel="0" collapsed="false">
      <c r="A62" s="25" t="s">
        <v>78</v>
      </c>
      <c r="B62" s="26" t="n">
        <f aca="false">Ringkasan!B6</f>
        <v>0.7</v>
      </c>
    </row>
    <row r="63" customFormat="false" ht="15" hidden="false" customHeight="false" outlineLevel="0" collapsed="false">
      <c r="A63" s="25" t="s">
        <v>79</v>
      </c>
      <c r="B63" s="17" t="n">
        <f aca="false">SUM(K20:K59)</f>
        <v>27</v>
      </c>
    </row>
    <row r="64" customFormat="false" ht="15" hidden="false" customHeight="false" outlineLevel="0" collapsed="false">
      <c r="A64" s="25" t="s">
        <v>80</v>
      </c>
      <c r="B64" s="26" t="n">
        <f aca="false">B63/40</f>
        <v>0.675</v>
      </c>
    </row>
    <row r="65" customFormat="false" ht="15" hidden="false" customHeight="false" outlineLevel="0" collapsed="false">
      <c r="A65" s="25" t="s">
        <v>81</v>
      </c>
      <c r="B65" s="26" t="n">
        <f aca="false">B64-B62</f>
        <v>-0.0249999999999999</v>
      </c>
    </row>
    <row r="67" customFormat="false" ht="15" hidden="false" customHeight="false" outlineLevel="0" collapsed="false">
      <c r="A67" s="15" t="s">
        <v>82</v>
      </c>
    </row>
    <row r="68" customFormat="false" ht="15" hidden="false" customHeight="false" outlineLevel="0" collapsed="false">
      <c r="A68" s="16" t="s">
        <v>57</v>
      </c>
      <c r="B68" s="16" t="s">
        <v>9</v>
      </c>
      <c r="C68" s="16" t="s">
        <v>13</v>
      </c>
      <c r="D68" s="16" t="s">
        <v>14</v>
      </c>
      <c r="E68" s="16" t="s">
        <v>15</v>
      </c>
      <c r="F68" s="16" t="s">
        <v>16</v>
      </c>
      <c r="G68" s="16" t="s">
        <v>30</v>
      </c>
    </row>
    <row r="69" customFormat="false" ht="15" hidden="false" customHeight="false" outlineLevel="0" collapsed="false">
      <c r="A69" s="17" t="s">
        <v>9</v>
      </c>
      <c r="B69" s="17" t="n">
        <f aca="false">COUNTIFS($B$20:$B$59,$A69,$J$20:$J$59,B$68)</f>
        <v>4</v>
      </c>
      <c r="C69" s="17" t="n">
        <f aca="false">COUNTIFS($B$20:$B$59,$A69,$J$20:$J$59,C$68)</f>
        <v>1</v>
      </c>
      <c r="D69" s="17" t="n">
        <f aca="false">COUNTIFS($B$20:$B$59,$A69,$J$20:$J$59,D$68)</f>
        <v>0</v>
      </c>
      <c r="E69" s="17" t="n">
        <f aca="false">COUNTIFS($B$20:$B$59,$A69,$J$20:$J$59,E$68)</f>
        <v>0</v>
      </c>
      <c r="F69" s="17" t="n">
        <f aca="false">COUNTIFS($B$20:$B$59,$A69,$J$20:$J$59,F$68)</f>
        <v>0</v>
      </c>
      <c r="G69" s="17" t="n">
        <f aca="false">SUM(B69:F69)</f>
        <v>5</v>
      </c>
    </row>
    <row r="70" customFormat="false" ht="15" hidden="false" customHeight="false" outlineLevel="0" collapsed="false">
      <c r="A70" s="17" t="s">
        <v>13</v>
      </c>
      <c r="B70" s="17" t="n">
        <f aca="false">COUNTIFS($B$20:$B$59,$A70,$J$20:$J$59,B$68)</f>
        <v>0</v>
      </c>
      <c r="C70" s="17" t="n">
        <f aca="false">COUNTIFS($B$20:$B$59,$A70,$J$20:$J$59,C$68)</f>
        <v>3</v>
      </c>
      <c r="D70" s="17" t="n">
        <f aca="false">COUNTIFS($B$20:$B$59,$A70,$J$20:$J$59,D$68)</f>
        <v>0</v>
      </c>
      <c r="E70" s="17" t="n">
        <f aca="false">COUNTIFS($B$20:$B$59,$A70,$J$20:$J$59,E$68)</f>
        <v>0</v>
      </c>
      <c r="F70" s="17" t="n">
        <f aca="false">COUNTIFS($B$20:$B$59,$A70,$J$20:$J$59,F$68)</f>
        <v>0</v>
      </c>
      <c r="G70" s="17" t="n">
        <f aca="false">SUM(B70:F70)</f>
        <v>3</v>
      </c>
    </row>
    <row r="71" customFormat="false" ht="15" hidden="false" customHeight="false" outlineLevel="0" collapsed="false">
      <c r="A71" s="17" t="s">
        <v>14</v>
      </c>
      <c r="B71" s="17" t="n">
        <f aca="false">COUNTIFS($B$20:$B$59,$A71,$J$20:$J$59,B$68)</f>
        <v>0</v>
      </c>
      <c r="C71" s="17" t="n">
        <f aca="false">COUNTIFS($B$20:$B$59,$A71,$J$20:$J$59,C$68)</f>
        <v>0</v>
      </c>
      <c r="D71" s="17" t="n">
        <f aca="false">COUNTIFS($B$20:$B$59,$A71,$J$20:$J$59,D$68)</f>
        <v>3</v>
      </c>
      <c r="E71" s="17" t="n">
        <f aca="false">COUNTIFS($B$20:$B$59,$A71,$J$20:$J$59,E$68)</f>
        <v>0</v>
      </c>
      <c r="F71" s="17" t="n">
        <f aca="false">COUNTIFS($B$20:$B$59,$A71,$J$20:$J$59,F$68)</f>
        <v>0</v>
      </c>
      <c r="G71" s="17" t="n">
        <f aca="false">SUM(B71:F71)</f>
        <v>3</v>
      </c>
    </row>
    <row r="72" customFormat="false" ht="15" hidden="false" customHeight="false" outlineLevel="0" collapsed="false">
      <c r="A72" s="17" t="s">
        <v>15</v>
      </c>
      <c r="B72" s="17" t="n">
        <f aca="false">COUNTIFS($B$20:$B$59,$A72,$J$20:$J$59,B$68)</f>
        <v>0</v>
      </c>
      <c r="C72" s="17" t="n">
        <f aca="false">COUNTIFS($B$20:$B$59,$A72,$J$20:$J$59,C$68)</f>
        <v>0</v>
      </c>
      <c r="D72" s="17" t="n">
        <f aca="false">COUNTIFS($B$20:$B$59,$A72,$J$20:$J$59,D$68)</f>
        <v>0</v>
      </c>
      <c r="E72" s="17" t="n">
        <f aca="false">COUNTIFS($B$20:$B$59,$A72,$J$20:$J$59,E$68)</f>
        <v>9</v>
      </c>
      <c r="F72" s="17" t="n">
        <f aca="false">COUNTIFS($B$20:$B$59,$A72,$J$20:$J$59,F$68)</f>
        <v>2</v>
      </c>
      <c r="G72" s="17" t="n">
        <f aca="false">SUM(B72:F72)</f>
        <v>11</v>
      </c>
    </row>
    <row r="73" customFormat="false" ht="15" hidden="false" customHeight="false" outlineLevel="0" collapsed="false">
      <c r="A73" s="17" t="s">
        <v>16</v>
      </c>
      <c r="B73" s="17" t="n">
        <f aca="false">COUNTIFS($B$20:$B$59,$A73,$J$20:$J$59,B$68)</f>
        <v>4</v>
      </c>
      <c r="C73" s="17" t="n">
        <f aca="false">COUNTIFS($B$20:$B$59,$A73,$J$20:$J$59,C$68)</f>
        <v>0</v>
      </c>
      <c r="D73" s="17" t="n">
        <f aca="false">COUNTIFS($B$20:$B$59,$A73,$J$20:$J$59,D$68)</f>
        <v>4</v>
      </c>
      <c r="E73" s="17" t="n">
        <f aca="false">COUNTIFS($B$20:$B$59,$A73,$J$20:$J$59,E$68)</f>
        <v>2</v>
      </c>
      <c r="F73" s="17" t="n">
        <f aca="false">COUNTIFS($B$20:$B$59,$A73,$J$20:$J$59,F$68)</f>
        <v>8</v>
      </c>
      <c r="G73" s="17" t="n">
        <f aca="false">SUM(B73:F73)</f>
        <v>18</v>
      </c>
    </row>
    <row r="74" customFormat="false" ht="15" hidden="false" customHeight="false" outlineLevel="0" collapsed="false">
      <c r="A74" s="20" t="s">
        <v>30</v>
      </c>
      <c r="B74" s="20" t="n">
        <f aca="false">SUM(B69:B73)</f>
        <v>8</v>
      </c>
      <c r="C74" s="20" t="n">
        <f aca="false">SUM(C69:C73)</f>
        <v>4</v>
      </c>
      <c r="D74" s="20" t="n">
        <f aca="false">SUM(D69:D73)</f>
        <v>7</v>
      </c>
      <c r="E74" s="20" t="n">
        <f aca="false">SUM(E69:E73)</f>
        <v>11</v>
      </c>
      <c r="F74" s="20" t="n">
        <f aca="false">SUM(F69:F73)</f>
        <v>10</v>
      </c>
      <c r="G74" s="20" t="n">
        <f aca="false">SUM(G69:G73)</f>
        <v>40</v>
      </c>
    </row>
    <row r="76" customFormat="false" ht="27.75" hidden="false" customHeight="true" outlineLevel="0" collapsed="false">
      <c r="A76" s="14" t="s">
        <v>83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</row>
  </sheetData>
  <mergeCells count="5">
    <mergeCell ref="A1:K1"/>
    <mergeCell ref="A2:K2"/>
    <mergeCell ref="A13:K13"/>
    <mergeCell ref="A17:K17"/>
    <mergeCell ref="A76:K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2026-07-15T13:52:04Z</dcterms:created>
  <dc:creator>openpyxl</dc:creator>
  <dc:description/>
  <dc:language>en-US</dc:language>
  <cp:lastModifiedBy/>
  <dcterms:modified xsi:type="dcterms:W3CDTF">2026-07-15T14:06:02Z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